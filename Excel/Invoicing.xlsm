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activeX/activeX18.xml" ContentType="application/vnd.ms-office.activeX+xml"/>
  <Override PartName="/xl/activeX/activeX19.xml" ContentType="application/vnd.ms-office.activeX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activeX/activeX20.xml" ContentType="application/vnd.ms-office.activeX+xml"/>
  <Override PartName="/xl/activeX/activeX21.xml" ContentType="application/vnd.ms-office.activeX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0.xml" ContentType="application/vnd.openxmlformats-officedocument.drawing+xml"/>
  <Override PartName="/xl/activeX/activeX2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vee\OneDrive\Documents\GitHub\Portfolio\"/>
    </mc:Choice>
  </mc:AlternateContent>
  <xr:revisionPtr revIDLastSave="1" documentId="13_ncr:1_{B2B29F29-CAAB-4868-B65E-35E6BA07DE3E}" xr6:coauthVersionLast="36" xr6:coauthVersionMax="36" xr10:uidLastSave="{0A09FA43-82A6-4821-9545-92562AA3C82A}"/>
  <workbookProtection workbookAlgorithmName="SHA-512" workbookHashValue="Ap60GrLn+CpAcPOvj/ueuWD0yJYEwk+ecOts8lMqU9OhzBt0COTROOe/R8Tbsl0JFQfnh84lP4zOCfZefrwb8g==" workbookSaltValue="2SVDqMTvteIW7SXaiYeXtw==" workbookSpinCount="100000" lockStructure="1"/>
  <bookViews>
    <workbookView xWindow="0" yWindow="0" windowWidth="21570" windowHeight="7890" tabRatio="839" xr2:uid="{00000000-000D-0000-FFFF-FFFF00000000}"/>
  </bookViews>
  <sheets>
    <sheet name="Main" sheetId="69" r:id="rId1"/>
    <sheet name="BILL" sheetId="56" r:id="rId2"/>
    <sheet name="ORIGINAL" sheetId="66" r:id="rId3"/>
    <sheet name="DUPLICATE" sheetId="57" r:id="rId4"/>
    <sheet name="TRIPLICATE" sheetId="58" r:id="rId5"/>
    <sheet name="products" sheetId="4" r:id="rId6"/>
    <sheet name="Vendors" sheetId="38" r:id="rId7"/>
    <sheet name="Backup" sheetId="64" r:id="rId8"/>
    <sheet name="StoreDetails" sheetId="6" r:id="rId9"/>
    <sheet name="GstFile" sheetId="59" r:id="rId10"/>
    <sheet name="SaleLedger" sheetId="23" r:id="rId11"/>
    <sheet name="PurchaseLedger" sheetId="36" r:id="rId12"/>
    <sheet name="ItemSaleStatus" sheetId="54" r:id="rId13"/>
    <sheet name="CalSheet" sheetId="48" r:id="rId14"/>
    <sheet name="VerifySaleCal" sheetId="55" r:id="rId15"/>
    <sheet name="SaleStatus" sheetId="47" r:id="rId16"/>
    <sheet name="SaleLedgerPrintSheet" sheetId="40" r:id="rId17"/>
    <sheet name="PurchaseLedgerPrintSheet" sheetId="39" r:id="rId18"/>
    <sheet name="b2b" sheetId="63" r:id="rId19"/>
    <sheet name="BarRead" sheetId="65" r:id="rId20"/>
    <sheet name="Pur" sheetId="68" r:id="rId21"/>
    <sheet name="Sheet1" sheetId="70" r:id="rId22"/>
  </sheets>
  <functionGroups builtInGroupCount="19"/>
  <definedNames>
    <definedName name="Brand">OFFSET(Backup!$A$2,0,0,COUNTA(Backup!$A:$A)-1,1)</definedName>
    <definedName name="invo" localSheetId="1">BILL!$N$9</definedName>
    <definedName name="invo" localSheetId="3">DUPLICATE!$N$9</definedName>
    <definedName name="invo" localSheetId="2">ORIGINAL!$N$9</definedName>
    <definedName name="invo" localSheetId="4">TRIPLICATE!$N$9</definedName>
    <definedName name="Lawrence">products!$C$83:$C$90</definedName>
    <definedName name="Maiyas">products!$C$91:$C$117</definedName>
    <definedName name="Mugi">products!$C$3:$C$36</definedName>
    <definedName name="PaperBoat">products!$C$47:$C$55</definedName>
    <definedName name="payment">OFFSET(Backup!$E$2,0,0,COUNTA(Backup!$E:$E)-1,1)</definedName>
    <definedName name="_xlnm.Print_Area" localSheetId="1">BILL!$A$1:$P$67</definedName>
    <definedName name="_xlnm.Print_Area" localSheetId="3">DUPLICATE!$A$1:$P$67</definedName>
    <definedName name="_xlnm.Print_Area" localSheetId="2">ORIGINAL!$A$1:$P$67</definedName>
    <definedName name="_xlnm.Print_Area" localSheetId="4">TRIPLICATE!$A$1:$P$67</definedName>
    <definedName name="_xlnm.Print_Titles" localSheetId="20">Pur!$1:$5</definedName>
    <definedName name="_xlnm.Print_Titles" localSheetId="17">PurchaseLedgerPrintSheet!$1:$5</definedName>
    <definedName name="_xlnm.Print_Titles" localSheetId="16">SaleLedgerPrintSheet!$1:$6</definedName>
    <definedName name="rate">OFFSET(Backup!$B$2,0,0,COUNTA(Backup!$B:$B)-1,1)</definedName>
    <definedName name="SM">StoreDetails!$C$19:$C$28</definedName>
    <definedName name="state">Backup!$C$2:$C$3</definedName>
    <definedName name="Stores">OFFSET(Backup!$D$2,0,0,COUNTA(Backup!$D:$D)-1,1)</definedName>
    <definedName name="TopRamen">products!$C$37:$C$46</definedName>
    <definedName name="Unibic">products!$C$56:$C$82</definedName>
    <definedName name="vendor">OFFSET(Vendors!$C$2,0,0,COUNTA(Vendors!$C:$C)-1,1)</definedName>
    <definedName name="VSP">StoreDetails!$C$2:$C$18</definedName>
    <definedName name="Week">OFFSET(Backup!$F$2,0,0,COUNTA(Backup!$F:$F)-1,1)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5" i="58" l="1"/>
  <c r="D53" i="58"/>
  <c r="D51" i="58"/>
  <c r="D49" i="58"/>
  <c r="D47" i="58"/>
  <c r="D55" i="57"/>
  <c r="D53" i="57"/>
  <c r="D51" i="57"/>
  <c r="D49" i="57"/>
  <c r="D47" i="57"/>
  <c r="D55" i="66"/>
  <c r="D53" i="66"/>
  <c r="D51" i="66"/>
  <c r="D49" i="66"/>
  <c r="D47" i="66"/>
  <c r="A7" i="58"/>
  <c r="A6" i="58"/>
  <c r="A5" i="58"/>
  <c r="A3" i="58"/>
  <c r="A7" i="57"/>
  <c r="A6" i="57"/>
  <c r="A5" i="57"/>
  <c r="A3" i="57"/>
  <c r="A7" i="66"/>
  <c r="A6" i="66"/>
  <c r="A5" i="66"/>
  <c r="A3" i="66"/>
  <c r="O74" i="4" l="1"/>
  <c r="J74" i="4"/>
  <c r="G74" i="4"/>
  <c r="O27" i="4" l="1"/>
  <c r="J27" i="4"/>
  <c r="G27" i="4"/>
  <c r="O10" i="4" l="1"/>
  <c r="J10" i="4"/>
  <c r="G10" i="4"/>
  <c r="O105" i="4" l="1"/>
  <c r="G105" i="4"/>
  <c r="O62" i="4" l="1"/>
  <c r="J62" i="4"/>
  <c r="G62" i="4"/>
  <c r="G63" i="4"/>
  <c r="N55" i="66" l="1"/>
  <c r="J54" i="66"/>
  <c r="H54" i="66"/>
  <c r="F54" i="66"/>
  <c r="N52" i="66"/>
  <c r="J52" i="66"/>
  <c r="H52" i="66"/>
  <c r="F52" i="66"/>
  <c r="J50" i="66"/>
  <c r="H50" i="66"/>
  <c r="F50" i="66"/>
  <c r="N49" i="66"/>
  <c r="J48" i="66"/>
  <c r="H48" i="66"/>
  <c r="F48" i="66"/>
  <c r="N46" i="66"/>
  <c r="O43" i="66"/>
  <c r="N43" i="66"/>
  <c r="M43" i="66"/>
  <c r="L43" i="66"/>
  <c r="K43" i="66"/>
  <c r="J43" i="66"/>
  <c r="I43" i="66"/>
  <c r="H43" i="66"/>
  <c r="G43" i="66"/>
  <c r="F43" i="66"/>
  <c r="E43" i="66"/>
  <c r="C43" i="66"/>
  <c r="B43" i="66"/>
  <c r="O42" i="66"/>
  <c r="N42" i="66"/>
  <c r="M42" i="66"/>
  <c r="L42" i="66"/>
  <c r="K42" i="66"/>
  <c r="J42" i="66"/>
  <c r="I42" i="66"/>
  <c r="H42" i="66"/>
  <c r="G42" i="66"/>
  <c r="F42" i="66"/>
  <c r="E42" i="66"/>
  <c r="C42" i="66"/>
  <c r="B42" i="66"/>
  <c r="O41" i="66"/>
  <c r="N41" i="66"/>
  <c r="M41" i="66"/>
  <c r="L41" i="66"/>
  <c r="K41" i="66"/>
  <c r="J41" i="66"/>
  <c r="I41" i="66"/>
  <c r="H41" i="66"/>
  <c r="G41" i="66"/>
  <c r="F41" i="66"/>
  <c r="E41" i="66"/>
  <c r="C41" i="66"/>
  <c r="B41" i="66"/>
  <c r="O40" i="66"/>
  <c r="N40" i="66"/>
  <c r="M40" i="66"/>
  <c r="L40" i="66"/>
  <c r="K40" i="66"/>
  <c r="J40" i="66"/>
  <c r="I40" i="66"/>
  <c r="H40" i="66"/>
  <c r="G40" i="66"/>
  <c r="F40" i="66"/>
  <c r="E40" i="66"/>
  <c r="C40" i="66"/>
  <c r="B40" i="66"/>
  <c r="O39" i="66"/>
  <c r="N39" i="66"/>
  <c r="M39" i="66"/>
  <c r="L39" i="66"/>
  <c r="K39" i="66"/>
  <c r="J39" i="66"/>
  <c r="I39" i="66"/>
  <c r="H39" i="66"/>
  <c r="G39" i="66"/>
  <c r="F39" i="66"/>
  <c r="E39" i="66"/>
  <c r="C39" i="66"/>
  <c r="B39" i="66"/>
  <c r="O38" i="66"/>
  <c r="N38" i="66"/>
  <c r="M38" i="66"/>
  <c r="L38" i="66"/>
  <c r="K38" i="66"/>
  <c r="J38" i="66"/>
  <c r="I38" i="66"/>
  <c r="H38" i="66"/>
  <c r="G38" i="66"/>
  <c r="F38" i="66"/>
  <c r="E38" i="66"/>
  <c r="C38" i="66"/>
  <c r="B38" i="66"/>
  <c r="O37" i="66"/>
  <c r="N37" i="66"/>
  <c r="M37" i="66"/>
  <c r="L37" i="66"/>
  <c r="K37" i="66"/>
  <c r="J37" i="66"/>
  <c r="I37" i="66"/>
  <c r="H37" i="66"/>
  <c r="G37" i="66"/>
  <c r="F37" i="66"/>
  <c r="E37" i="66"/>
  <c r="C37" i="66"/>
  <c r="B37" i="66"/>
  <c r="O36" i="66"/>
  <c r="N36" i="66"/>
  <c r="M36" i="66"/>
  <c r="L36" i="66"/>
  <c r="K36" i="66"/>
  <c r="J36" i="66"/>
  <c r="I36" i="66"/>
  <c r="H36" i="66"/>
  <c r="G36" i="66"/>
  <c r="F36" i="66"/>
  <c r="E36" i="66"/>
  <c r="C36" i="66"/>
  <c r="B36" i="66"/>
  <c r="O35" i="66"/>
  <c r="N35" i="66"/>
  <c r="M35" i="66"/>
  <c r="L35" i="66"/>
  <c r="K35" i="66"/>
  <c r="J35" i="66"/>
  <c r="I35" i="66"/>
  <c r="H35" i="66"/>
  <c r="G35" i="66"/>
  <c r="F35" i="66"/>
  <c r="E35" i="66"/>
  <c r="C35" i="66"/>
  <c r="B35" i="66"/>
  <c r="O34" i="66"/>
  <c r="N34" i="66"/>
  <c r="M34" i="66"/>
  <c r="L34" i="66"/>
  <c r="K34" i="66"/>
  <c r="J34" i="66"/>
  <c r="I34" i="66"/>
  <c r="H34" i="66"/>
  <c r="G34" i="66"/>
  <c r="F34" i="66"/>
  <c r="E34" i="66"/>
  <c r="C34" i="66"/>
  <c r="B34" i="66"/>
  <c r="O33" i="66"/>
  <c r="N33" i="66"/>
  <c r="M33" i="66"/>
  <c r="L33" i="66"/>
  <c r="K33" i="66"/>
  <c r="J33" i="66"/>
  <c r="I33" i="66"/>
  <c r="H33" i="66"/>
  <c r="G33" i="66"/>
  <c r="F33" i="66"/>
  <c r="E33" i="66"/>
  <c r="C33" i="66"/>
  <c r="B33" i="66"/>
  <c r="O32" i="66"/>
  <c r="N32" i="66"/>
  <c r="M32" i="66"/>
  <c r="L32" i="66"/>
  <c r="K32" i="66"/>
  <c r="J32" i="66"/>
  <c r="I32" i="66"/>
  <c r="H32" i="66"/>
  <c r="G32" i="66"/>
  <c r="F32" i="66"/>
  <c r="E32" i="66"/>
  <c r="C32" i="66"/>
  <c r="B32" i="66"/>
  <c r="O31" i="66"/>
  <c r="N31" i="66"/>
  <c r="M31" i="66"/>
  <c r="L31" i="66"/>
  <c r="K31" i="66"/>
  <c r="J31" i="66"/>
  <c r="I31" i="66"/>
  <c r="H31" i="66"/>
  <c r="G31" i="66"/>
  <c r="F31" i="66"/>
  <c r="E31" i="66"/>
  <c r="C31" i="66"/>
  <c r="B31" i="66"/>
  <c r="O30" i="66"/>
  <c r="N30" i="66"/>
  <c r="M30" i="66"/>
  <c r="L30" i="66"/>
  <c r="K30" i="66"/>
  <c r="J30" i="66"/>
  <c r="I30" i="66"/>
  <c r="H30" i="66"/>
  <c r="G30" i="66"/>
  <c r="F30" i="66"/>
  <c r="E30" i="66"/>
  <c r="C30" i="66"/>
  <c r="B30" i="66"/>
  <c r="O29" i="66"/>
  <c r="N29" i="66"/>
  <c r="M29" i="66"/>
  <c r="L29" i="66"/>
  <c r="K29" i="66"/>
  <c r="J29" i="66"/>
  <c r="I29" i="66"/>
  <c r="H29" i="66"/>
  <c r="G29" i="66"/>
  <c r="F29" i="66"/>
  <c r="E29" i="66"/>
  <c r="C29" i="66"/>
  <c r="B29" i="66"/>
  <c r="O28" i="66"/>
  <c r="N28" i="66"/>
  <c r="M28" i="66"/>
  <c r="L28" i="66"/>
  <c r="K28" i="66"/>
  <c r="J28" i="66"/>
  <c r="I28" i="66"/>
  <c r="H28" i="66"/>
  <c r="G28" i="66"/>
  <c r="F28" i="66"/>
  <c r="E28" i="66"/>
  <c r="C28" i="66"/>
  <c r="B28" i="66"/>
  <c r="O27" i="66"/>
  <c r="N27" i="66"/>
  <c r="M27" i="66"/>
  <c r="L27" i="66"/>
  <c r="K27" i="66"/>
  <c r="J27" i="66"/>
  <c r="I27" i="66"/>
  <c r="H27" i="66"/>
  <c r="G27" i="66"/>
  <c r="F27" i="66"/>
  <c r="E27" i="66"/>
  <c r="C27" i="66"/>
  <c r="B27" i="66"/>
  <c r="O26" i="66"/>
  <c r="N26" i="66"/>
  <c r="M26" i="66"/>
  <c r="L26" i="66"/>
  <c r="K26" i="66"/>
  <c r="J26" i="66"/>
  <c r="I26" i="66"/>
  <c r="H26" i="66"/>
  <c r="G26" i="66"/>
  <c r="F26" i="66"/>
  <c r="E26" i="66"/>
  <c r="C26" i="66"/>
  <c r="B26" i="66"/>
  <c r="O25" i="66"/>
  <c r="N25" i="66"/>
  <c r="M25" i="66"/>
  <c r="L25" i="66"/>
  <c r="K25" i="66"/>
  <c r="J25" i="66"/>
  <c r="I25" i="66"/>
  <c r="H25" i="66"/>
  <c r="G25" i="66"/>
  <c r="F25" i="66"/>
  <c r="E25" i="66"/>
  <c r="C25" i="66"/>
  <c r="B25" i="66"/>
  <c r="O24" i="66"/>
  <c r="N24" i="66"/>
  <c r="M24" i="66"/>
  <c r="L24" i="66"/>
  <c r="K24" i="66"/>
  <c r="J24" i="66"/>
  <c r="I24" i="66"/>
  <c r="H24" i="66"/>
  <c r="G24" i="66"/>
  <c r="F24" i="66"/>
  <c r="E24" i="66"/>
  <c r="C24" i="66"/>
  <c r="B24" i="66"/>
  <c r="O23" i="66"/>
  <c r="N23" i="66"/>
  <c r="M23" i="66"/>
  <c r="L23" i="66"/>
  <c r="K23" i="66"/>
  <c r="J23" i="66"/>
  <c r="I23" i="66"/>
  <c r="H23" i="66"/>
  <c r="G23" i="66"/>
  <c r="F23" i="66"/>
  <c r="E23" i="66"/>
  <c r="C23" i="66"/>
  <c r="B23" i="66"/>
  <c r="O22" i="66"/>
  <c r="N22" i="66"/>
  <c r="M22" i="66"/>
  <c r="L22" i="66"/>
  <c r="K22" i="66"/>
  <c r="J22" i="66"/>
  <c r="I22" i="66"/>
  <c r="H22" i="66"/>
  <c r="G22" i="66"/>
  <c r="F22" i="66"/>
  <c r="E22" i="66"/>
  <c r="C22" i="66"/>
  <c r="B22" i="66"/>
  <c r="O21" i="66"/>
  <c r="N21" i="66"/>
  <c r="M21" i="66"/>
  <c r="L21" i="66"/>
  <c r="K21" i="66"/>
  <c r="J21" i="66"/>
  <c r="I21" i="66"/>
  <c r="H21" i="66"/>
  <c r="G21" i="66"/>
  <c r="F21" i="66"/>
  <c r="E21" i="66"/>
  <c r="C21" i="66"/>
  <c r="B21" i="66"/>
  <c r="O20" i="66"/>
  <c r="N20" i="66"/>
  <c r="M20" i="66"/>
  <c r="L20" i="66"/>
  <c r="K20" i="66"/>
  <c r="J20" i="66"/>
  <c r="I20" i="66"/>
  <c r="H20" i="66"/>
  <c r="G20" i="66"/>
  <c r="F20" i="66"/>
  <c r="E20" i="66"/>
  <c r="C20" i="66"/>
  <c r="B20" i="66"/>
  <c r="O19" i="66"/>
  <c r="N19" i="66"/>
  <c r="M19" i="66"/>
  <c r="L19" i="66"/>
  <c r="K19" i="66"/>
  <c r="J19" i="66"/>
  <c r="I19" i="66"/>
  <c r="H19" i="66"/>
  <c r="G19" i="66"/>
  <c r="F19" i="66"/>
  <c r="E19" i="66"/>
  <c r="C19" i="66"/>
  <c r="B19" i="66"/>
  <c r="D16" i="66"/>
  <c r="D15" i="66"/>
  <c r="D14" i="66"/>
  <c r="D13" i="66"/>
  <c r="N12" i="66"/>
  <c r="D12" i="66"/>
  <c r="N11" i="66"/>
  <c r="D11" i="66"/>
  <c r="N9" i="66"/>
  <c r="G80" i="4" l="1"/>
  <c r="O79" i="4"/>
  <c r="J79" i="4"/>
  <c r="G79" i="4"/>
  <c r="XEX102" i="54" l="1"/>
  <c r="G112" i="4" l="1"/>
  <c r="G113" i="4"/>
  <c r="G114" i="4"/>
  <c r="G115" i="4"/>
  <c r="G111" i="4"/>
  <c r="G110" i="4"/>
  <c r="G108" i="4"/>
  <c r="G109" i="4"/>
  <c r="G107" i="4"/>
  <c r="G104" i="4"/>
  <c r="G106" i="4"/>
  <c r="G102" i="4"/>
  <c r="G103" i="4"/>
  <c r="G92" i="4"/>
  <c r="G93" i="4"/>
  <c r="G94" i="4"/>
  <c r="G95" i="4"/>
  <c r="G96" i="4"/>
  <c r="G97" i="4"/>
  <c r="G98" i="4"/>
  <c r="G99" i="4"/>
  <c r="G100" i="4"/>
  <c r="G101" i="4"/>
  <c r="G91" i="4"/>
  <c r="G84" i="4"/>
  <c r="G85" i="4"/>
  <c r="G86" i="4"/>
  <c r="G87" i="4"/>
  <c r="G88" i="4"/>
  <c r="G83" i="4"/>
  <c r="G59" i="4"/>
  <c r="G60" i="4"/>
  <c r="G61" i="4"/>
  <c r="G64" i="4"/>
  <c r="G65" i="4"/>
  <c r="G66" i="4"/>
  <c r="G67" i="4"/>
  <c r="G68" i="4"/>
  <c r="G69" i="4"/>
  <c r="G70" i="4"/>
  <c r="G71" i="4"/>
  <c r="G72" i="4"/>
  <c r="G73" i="4"/>
  <c r="G75" i="4"/>
  <c r="G76" i="4"/>
  <c r="G77" i="4"/>
  <c r="G78" i="4"/>
  <c r="G57" i="4"/>
  <c r="G58" i="4"/>
  <c r="G56" i="4"/>
  <c r="G48" i="4"/>
  <c r="G49" i="4"/>
  <c r="G50" i="4"/>
  <c r="G51" i="4"/>
  <c r="G52" i="4"/>
  <c r="G53" i="4"/>
  <c r="G47" i="4"/>
  <c r="G42" i="4"/>
  <c r="G43" i="4"/>
  <c r="G44" i="4"/>
  <c r="G38" i="4"/>
  <c r="G39" i="4"/>
  <c r="G40" i="4"/>
  <c r="G41" i="4"/>
  <c r="G37" i="4"/>
  <c r="G28" i="4"/>
  <c r="G29" i="4"/>
  <c r="G30" i="4"/>
  <c r="G31" i="4"/>
  <c r="G32" i="4"/>
  <c r="G33" i="4"/>
  <c r="G34" i="4"/>
  <c r="G26" i="4"/>
  <c r="G17" i="4"/>
  <c r="G18" i="4"/>
  <c r="G19" i="4"/>
  <c r="G20" i="4"/>
  <c r="G21" i="4"/>
  <c r="G22" i="4"/>
  <c r="G23" i="4"/>
  <c r="G24" i="4"/>
  <c r="G3" i="4"/>
  <c r="G4" i="4"/>
  <c r="G5" i="4"/>
  <c r="G6" i="4"/>
  <c r="G7" i="4"/>
  <c r="G8" i="4"/>
  <c r="G9" i="4"/>
  <c r="G11" i="4"/>
  <c r="G12" i="4"/>
  <c r="G13" i="4"/>
  <c r="G14" i="4"/>
  <c r="G15" i="4"/>
  <c r="G16" i="4"/>
  <c r="O64" i="4" l="1"/>
  <c r="J64" i="4"/>
  <c r="J65" i="4"/>
  <c r="O65" i="4"/>
  <c r="E56" i="48" l="1"/>
  <c r="E57" i="48" s="1"/>
  <c r="D56" i="48"/>
  <c r="D57" i="48" s="1"/>
  <c r="C56" i="48"/>
  <c r="C57" i="48" s="1"/>
  <c r="B56" i="48"/>
  <c r="B57" i="48" s="1"/>
  <c r="G27" i="48"/>
  <c r="F27" i="48"/>
  <c r="E27" i="48"/>
  <c r="D27" i="48"/>
  <c r="C27" i="48"/>
  <c r="B27" i="48"/>
  <c r="O115" i="4"/>
  <c r="O114" i="4"/>
  <c r="O113" i="4"/>
  <c r="O112" i="4"/>
  <c r="O111" i="4"/>
  <c r="O110" i="4"/>
  <c r="O109" i="4"/>
  <c r="O108" i="4"/>
  <c r="O107" i="4"/>
  <c r="O106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J90" i="4"/>
  <c r="G90" i="4"/>
  <c r="J89" i="4"/>
  <c r="G89" i="4"/>
  <c r="O88" i="4"/>
  <c r="J88" i="4"/>
  <c r="O87" i="4"/>
  <c r="J87" i="4"/>
  <c r="O86" i="4"/>
  <c r="J86" i="4"/>
  <c r="O85" i="4"/>
  <c r="J85" i="4"/>
  <c r="O84" i="4"/>
  <c r="J84" i="4"/>
  <c r="O83" i="4"/>
  <c r="J83" i="4"/>
  <c r="O80" i="4"/>
  <c r="J80" i="4"/>
  <c r="O78" i="4"/>
  <c r="J78" i="4"/>
  <c r="O77" i="4"/>
  <c r="J77" i="4"/>
  <c r="O76" i="4"/>
  <c r="J76" i="4"/>
  <c r="O75" i="4"/>
  <c r="J75" i="4"/>
  <c r="O73" i="4"/>
  <c r="J73" i="4"/>
  <c r="O72" i="4"/>
  <c r="J72" i="4"/>
  <c r="O71" i="4"/>
  <c r="J71" i="4"/>
  <c r="O70" i="4"/>
  <c r="J70" i="4"/>
  <c r="O69" i="4"/>
  <c r="J69" i="4"/>
  <c r="O68" i="4"/>
  <c r="J68" i="4"/>
  <c r="O67" i="4"/>
  <c r="J67" i="4"/>
  <c r="O66" i="4"/>
  <c r="J66" i="4"/>
  <c r="O63" i="4"/>
  <c r="J63" i="4"/>
  <c r="O61" i="4"/>
  <c r="J61" i="4"/>
  <c r="O60" i="4"/>
  <c r="J60" i="4"/>
  <c r="O59" i="4"/>
  <c r="J59" i="4"/>
  <c r="O58" i="4"/>
  <c r="J58" i="4"/>
  <c r="O57" i="4"/>
  <c r="J57" i="4"/>
  <c r="O56" i="4"/>
  <c r="J56" i="4"/>
  <c r="J55" i="4"/>
  <c r="J54" i="4"/>
  <c r="O53" i="4"/>
  <c r="J53" i="4"/>
  <c r="O52" i="4"/>
  <c r="J52" i="4"/>
  <c r="O51" i="4"/>
  <c r="J51" i="4"/>
  <c r="O50" i="4"/>
  <c r="J50" i="4"/>
  <c r="O49" i="4"/>
  <c r="J49" i="4"/>
  <c r="O48" i="4"/>
  <c r="J48" i="4"/>
  <c r="O47" i="4"/>
  <c r="J47" i="4"/>
  <c r="O44" i="4"/>
  <c r="J44" i="4"/>
  <c r="O43" i="4"/>
  <c r="J43" i="4"/>
  <c r="J42" i="4"/>
  <c r="O41" i="4"/>
  <c r="J41" i="4"/>
  <c r="O40" i="4"/>
  <c r="J40" i="4"/>
  <c r="O39" i="4"/>
  <c r="J39" i="4"/>
  <c r="O38" i="4"/>
  <c r="J38" i="4"/>
  <c r="O37" i="4"/>
  <c r="J37" i="4"/>
  <c r="O34" i="4"/>
  <c r="J34" i="4"/>
  <c r="O33" i="4"/>
  <c r="J33" i="4"/>
  <c r="O32" i="4"/>
  <c r="J32" i="4"/>
  <c r="O31" i="4"/>
  <c r="J31" i="4"/>
  <c r="O30" i="4"/>
  <c r="J30" i="4"/>
  <c r="O29" i="4"/>
  <c r="J29" i="4"/>
  <c r="O28" i="4"/>
  <c r="J28" i="4"/>
  <c r="O26" i="4"/>
  <c r="J26" i="4"/>
  <c r="O25" i="4"/>
  <c r="J25" i="4"/>
  <c r="O24" i="4"/>
  <c r="J24" i="4"/>
  <c r="O23" i="4"/>
  <c r="J23" i="4"/>
  <c r="O22" i="4"/>
  <c r="J22" i="4"/>
  <c r="O21" i="4"/>
  <c r="J21" i="4"/>
  <c r="O20" i="4"/>
  <c r="J20" i="4"/>
  <c r="O19" i="4"/>
  <c r="J19" i="4"/>
  <c r="O18" i="4"/>
  <c r="J18" i="4"/>
  <c r="O17" i="4"/>
  <c r="J17" i="4"/>
  <c r="O16" i="4"/>
  <c r="J16" i="4"/>
  <c r="O15" i="4"/>
  <c r="J15" i="4"/>
  <c r="O14" i="4"/>
  <c r="J14" i="4"/>
  <c r="O13" i="4"/>
  <c r="J13" i="4"/>
  <c r="O12" i="4"/>
  <c r="J12" i="4"/>
  <c r="O11" i="4"/>
  <c r="J11" i="4"/>
  <c r="O9" i="4"/>
  <c r="J9" i="4"/>
  <c r="O8" i="4"/>
  <c r="J8" i="4"/>
  <c r="O7" i="4"/>
  <c r="J7" i="4"/>
  <c r="O6" i="4"/>
  <c r="J6" i="4"/>
  <c r="O5" i="4"/>
  <c r="J5" i="4"/>
  <c r="O4" i="4"/>
  <c r="J4" i="4"/>
  <c r="O3" i="4"/>
  <c r="J3" i="4"/>
  <c r="N55" i="58"/>
  <c r="J54" i="58"/>
  <c r="H54" i="58"/>
  <c r="F54" i="58"/>
  <c r="N52" i="58"/>
  <c r="J52" i="58"/>
  <c r="H52" i="58"/>
  <c r="F52" i="58"/>
  <c r="J50" i="58"/>
  <c r="H50" i="58"/>
  <c r="F50" i="58"/>
  <c r="N49" i="58"/>
  <c r="J48" i="58"/>
  <c r="H48" i="58"/>
  <c r="F48" i="58"/>
  <c r="N46" i="58"/>
  <c r="O43" i="58"/>
  <c r="N43" i="58"/>
  <c r="M43" i="58"/>
  <c r="L43" i="58"/>
  <c r="K43" i="58"/>
  <c r="J43" i="58"/>
  <c r="I43" i="58"/>
  <c r="H43" i="58"/>
  <c r="G43" i="58"/>
  <c r="F43" i="58"/>
  <c r="E43" i="58"/>
  <c r="C43" i="58"/>
  <c r="B43" i="58"/>
  <c r="O42" i="58"/>
  <c r="N42" i="58"/>
  <c r="M42" i="58"/>
  <c r="L42" i="58"/>
  <c r="K42" i="58"/>
  <c r="J42" i="58"/>
  <c r="I42" i="58"/>
  <c r="H42" i="58"/>
  <c r="G42" i="58"/>
  <c r="F42" i="58"/>
  <c r="E42" i="58"/>
  <c r="C42" i="58"/>
  <c r="B42" i="58"/>
  <c r="O41" i="58"/>
  <c r="N41" i="58"/>
  <c r="M41" i="58"/>
  <c r="L41" i="58"/>
  <c r="K41" i="58"/>
  <c r="J41" i="58"/>
  <c r="I41" i="58"/>
  <c r="H41" i="58"/>
  <c r="G41" i="58"/>
  <c r="F41" i="58"/>
  <c r="E41" i="58"/>
  <c r="C41" i="58"/>
  <c r="B41" i="58"/>
  <c r="O40" i="58"/>
  <c r="N40" i="58"/>
  <c r="M40" i="58"/>
  <c r="L40" i="58"/>
  <c r="K40" i="58"/>
  <c r="J40" i="58"/>
  <c r="I40" i="58"/>
  <c r="H40" i="58"/>
  <c r="G40" i="58"/>
  <c r="F40" i="58"/>
  <c r="E40" i="58"/>
  <c r="C40" i="58"/>
  <c r="B40" i="58"/>
  <c r="O39" i="58"/>
  <c r="N39" i="58"/>
  <c r="M39" i="58"/>
  <c r="L39" i="58"/>
  <c r="K39" i="58"/>
  <c r="J39" i="58"/>
  <c r="I39" i="58"/>
  <c r="H39" i="58"/>
  <c r="G39" i="58"/>
  <c r="F39" i="58"/>
  <c r="E39" i="58"/>
  <c r="C39" i="58"/>
  <c r="B39" i="58"/>
  <c r="O38" i="58"/>
  <c r="N38" i="58"/>
  <c r="M38" i="58"/>
  <c r="L38" i="58"/>
  <c r="K38" i="58"/>
  <c r="J38" i="58"/>
  <c r="I38" i="58"/>
  <c r="H38" i="58"/>
  <c r="G38" i="58"/>
  <c r="F38" i="58"/>
  <c r="E38" i="58"/>
  <c r="C38" i="58"/>
  <c r="B38" i="58"/>
  <c r="O37" i="58"/>
  <c r="N37" i="58"/>
  <c r="M37" i="58"/>
  <c r="L37" i="58"/>
  <c r="K37" i="58"/>
  <c r="J37" i="58"/>
  <c r="I37" i="58"/>
  <c r="H37" i="58"/>
  <c r="G37" i="58"/>
  <c r="F37" i="58"/>
  <c r="E37" i="58"/>
  <c r="C37" i="58"/>
  <c r="B37" i="58"/>
  <c r="O36" i="58"/>
  <c r="N36" i="58"/>
  <c r="M36" i="58"/>
  <c r="L36" i="58"/>
  <c r="K36" i="58"/>
  <c r="J36" i="58"/>
  <c r="I36" i="58"/>
  <c r="H36" i="58"/>
  <c r="G36" i="58"/>
  <c r="F36" i="58"/>
  <c r="E36" i="58"/>
  <c r="C36" i="58"/>
  <c r="B36" i="58"/>
  <c r="O35" i="58"/>
  <c r="N35" i="58"/>
  <c r="M35" i="58"/>
  <c r="L35" i="58"/>
  <c r="K35" i="58"/>
  <c r="J35" i="58"/>
  <c r="I35" i="58"/>
  <c r="H35" i="58"/>
  <c r="G35" i="58"/>
  <c r="F35" i="58"/>
  <c r="E35" i="58"/>
  <c r="C35" i="58"/>
  <c r="B35" i="58"/>
  <c r="O34" i="58"/>
  <c r="N34" i="58"/>
  <c r="M34" i="58"/>
  <c r="L34" i="58"/>
  <c r="K34" i="58"/>
  <c r="J34" i="58"/>
  <c r="I34" i="58"/>
  <c r="H34" i="58"/>
  <c r="G34" i="58"/>
  <c r="F34" i="58"/>
  <c r="E34" i="58"/>
  <c r="C34" i="58"/>
  <c r="B34" i="58"/>
  <c r="O33" i="58"/>
  <c r="N33" i="58"/>
  <c r="M33" i="58"/>
  <c r="L33" i="58"/>
  <c r="K33" i="58"/>
  <c r="J33" i="58"/>
  <c r="I33" i="58"/>
  <c r="H33" i="58"/>
  <c r="G33" i="58"/>
  <c r="F33" i="58"/>
  <c r="E33" i="58"/>
  <c r="C33" i="58"/>
  <c r="B33" i="58"/>
  <c r="O32" i="58"/>
  <c r="N32" i="58"/>
  <c r="M32" i="58"/>
  <c r="L32" i="58"/>
  <c r="K32" i="58"/>
  <c r="J32" i="58"/>
  <c r="I32" i="58"/>
  <c r="H32" i="58"/>
  <c r="G32" i="58"/>
  <c r="F32" i="58"/>
  <c r="E32" i="58"/>
  <c r="C32" i="58"/>
  <c r="B32" i="58"/>
  <c r="O31" i="58"/>
  <c r="N31" i="58"/>
  <c r="M31" i="58"/>
  <c r="L31" i="58"/>
  <c r="K31" i="58"/>
  <c r="J31" i="58"/>
  <c r="I31" i="58"/>
  <c r="H31" i="58"/>
  <c r="G31" i="58"/>
  <c r="F31" i="58"/>
  <c r="E31" i="58"/>
  <c r="C31" i="58"/>
  <c r="B31" i="58"/>
  <c r="O30" i="58"/>
  <c r="N30" i="58"/>
  <c r="M30" i="58"/>
  <c r="L30" i="58"/>
  <c r="K30" i="58"/>
  <c r="J30" i="58"/>
  <c r="I30" i="58"/>
  <c r="H30" i="58"/>
  <c r="G30" i="58"/>
  <c r="F30" i="58"/>
  <c r="E30" i="58"/>
  <c r="C30" i="58"/>
  <c r="B30" i="58"/>
  <c r="O29" i="58"/>
  <c r="N29" i="58"/>
  <c r="M29" i="58"/>
  <c r="L29" i="58"/>
  <c r="K29" i="58"/>
  <c r="J29" i="58"/>
  <c r="I29" i="58"/>
  <c r="H29" i="58"/>
  <c r="G29" i="58"/>
  <c r="F29" i="58"/>
  <c r="E29" i="58"/>
  <c r="C29" i="58"/>
  <c r="B29" i="58"/>
  <c r="O28" i="58"/>
  <c r="N28" i="58"/>
  <c r="M28" i="58"/>
  <c r="L28" i="58"/>
  <c r="K28" i="58"/>
  <c r="J28" i="58"/>
  <c r="I28" i="58"/>
  <c r="H28" i="58"/>
  <c r="G28" i="58"/>
  <c r="F28" i="58"/>
  <c r="E28" i="58"/>
  <c r="C28" i="58"/>
  <c r="B28" i="58"/>
  <c r="O27" i="58"/>
  <c r="N27" i="58"/>
  <c r="M27" i="58"/>
  <c r="L27" i="58"/>
  <c r="K27" i="58"/>
  <c r="J27" i="58"/>
  <c r="I27" i="58"/>
  <c r="H27" i="58"/>
  <c r="G27" i="58"/>
  <c r="F27" i="58"/>
  <c r="E27" i="58"/>
  <c r="C27" i="58"/>
  <c r="B27" i="58"/>
  <c r="O26" i="58"/>
  <c r="N26" i="58"/>
  <c r="M26" i="58"/>
  <c r="L26" i="58"/>
  <c r="K26" i="58"/>
  <c r="J26" i="58"/>
  <c r="I26" i="58"/>
  <c r="H26" i="58"/>
  <c r="G26" i="58"/>
  <c r="F26" i="58"/>
  <c r="E26" i="58"/>
  <c r="C26" i="58"/>
  <c r="B26" i="58"/>
  <c r="O25" i="58"/>
  <c r="N25" i="58"/>
  <c r="M25" i="58"/>
  <c r="L25" i="58"/>
  <c r="K25" i="58"/>
  <c r="J25" i="58"/>
  <c r="I25" i="58"/>
  <c r="H25" i="58"/>
  <c r="G25" i="58"/>
  <c r="F25" i="58"/>
  <c r="E25" i="58"/>
  <c r="C25" i="58"/>
  <c r="B25" i="58"/>
  <c r="O24" i="58"/>
  <c r="N24" i="58"/>
  <c r="M24" i="58"/>
  <c r="L24" i="58"/>
  <c r="K24" i="58"/>
  <c r="J24" i="58"/>
  <c r="I24" i="58"/>
  <c r="H24" i="58"/>
  <c r="G24" i="58"/>
  <c r="F24" i="58"/>
  <c r="E24" i="58"/>
  <c r="C24" i="58"/>
  <c r="B24" i="58"/>
  <c r="O23" i="58"/>
  <c r="N23" i="58"/>
  <c r="M23" i="58"/>
  <c r="L23" i="58"/>
  <c r="K23" i="58"/>
  <c r="J23" i="58"/>
  <c r="I23" i="58"/>
  <c r="H23" i="58"/>
  <c r="G23" i="58"/>
  <c r="F23" i="58"/>
  <c r="E23" i="58"/>
  <c r="C23" i="58"/>
  <c r="B23" i="58"/>
  <c r="O22" i="58"/>
  <c r="N22" i="58"/>
  <c r="M22" i="58"/>
  <c r="L22" i="58"/>
  <c r="K22" i="58"/>
  <c r="J22" i="58"/>
  <c r="I22" i="58"/>
  <c r="H22" i="58"/>
  <c r="G22" i="58"/>
  <c r="F22" i="58"/>
  <c r="E22" i="58"/>
  <c r="C22" i="58"/>
  <c r="B22" i="58"/>
  <c r="O21" i="58"/>
  <c r="N21" i="58"/>
  <c r="M21" i="58"/>
  <c r="L21" i="58"/>
  <c r="K21" i="58"/>
  <c r="J21" i="58"/>
  <c r="I21" i="58"/>
  <c r="H21" i="58"/>
  <c r="G21" i="58"/>
  <c r="F21" i="58"/>
  <c r="E21" i="58"/>
  <c r="C21" i="58"/>
  <c r="B21" i="58"/>
  <c r="O20" i="58"/>
  <c r="N20" i="58"/>
  <c r="M20" i="58"/>
  <c r="L20" i="58"/>
  <c r="K20" i="58"/>
  <c r="J20" i="58"/>
  <c r="I20" i="58"/>
  <c r="H20" i="58"/>
  <c r="G20" i="58"/>
  <c r="F20" i="58"/>
  <c r="E20" i="58"/>
  <c r="C20" i="58"/>
  <c r="B20" i="58"/>
  <c r="O19" i="58"/>
  <c r="N19" i="58"/>
  <c r="M19" i="58"/>
  <c r="L19" i="58"/>
  <c r="K19" i="58"/>
  <c r="J19" i="58"/>
  <c r="I19" i="58"/>
  <c r="H19" i="58"/>
  <c r="G19" i="58"/>
  <c r="F19" i="58"/>
  <c r="E19" i="58"/>
  <c r="C19" i="58"/>
  <c r="B19" i="58"/>
  <c r="D16" i="58"/>
  <c r="D15" i="58"/>
  <c r="D14" i="58"/>
  <c r="D13" i="58"/>
  <c r="N12" i="58"/>
  <c r="D12" i="58"/>
  <c r="N11" i="58"/>
  <c r="D11" i="58"/>
  <c r="N9" i="58"/>
  <c r="N55" i="57"/>
  <c r="J54" i="57"/>
  <c r="H54" i="57"/>
  <c r="F54" i="57"/>
  <c r="N52" i="57"/>
  <c r="J52" i="57"/>
  <c r="H52" i="57"/>
  <c r="F52" i="57"/>
  <c r="J50" i="57"/>
  <c r="H50" i="57"/>
  <c r="F50" i="57"/>
  <c r="N49" i="57"/>
  <c r="J48" i="57"/>
  <c r="H48" i="57"/>
  <c r="F48" i="57"/>
  <c r="N46" i="57"/>
  <c r="O43" i="57"/>
  <c r="N43" i="57"/>
  <c r="M43" i="57"/>
  <c r="L43" i="57"/>
  <c r="K43" i="57"/>
  <c r="J43" i="57"/>
  <c r="I43" i="57"/>
  <c r="H43" i="57"/>
  <c r="G43" i="57"/>
  <c r="F43" i="57"/>
  <c r="E43" i="57"/>
  <c r="C43" i="57"/>
  <c r="B43" i="57"/>
  <c r="O42" i="57"/>
  <c r="N42" i="57"/>
  <c r="M42" i="57"/>
  <c r="L42" i="57"/>
  <c r="K42" i="57"/>
  <c r="J42" i="57"/>
  <c r="I42" i="57"/>
  <c r="H42" i="57"/>
  <c r="G42" i="57"/>
  <c r="F42" i="57"/>
  <c r="E42" i="57"/>
  <c r="C42" i="57"/>
  <c r="B42" i="57"/>
  <c r="O41" i="57"/>
  <c r="N41" i="57"/>
  <c r="M41" i="57"/>
  <c r="L41" i="57"/>
  <c r="K41" i="57"/>
  <c r="J41" i="57"/>
  <c r="I41" i="57"/>
  <c r="H41" i="57"/>
  <c r="G41" i="57"/>
  <c r="F41" i="57"/>
  <c r="E41" i="57"/>
  <c r="C41" i="57"/>
  <c r="B41" i="57"/>
  <c r="O40" i="57"/>
  <c r="N40" i="57"/>
  <c r="M40" i="57"/>
  <c r="L40" i="57"/>
  <c r="K40" i="57"/>
  <c r="J40" i="57"/>
  <c r="I40" i="57"/>
  <c r="H40" i="57"/>
  <c r="G40" i="57"/>
  <c r="F40" i="57"/>
  <c r="E40" i="57"/>
  <c r="C40" i="57"/>
  <c r="B40" i="57"/>
  <c r="O39" i="57"/>
  <c r="N39" i="57"/>
  <c r="M39" i="57"/>
  <c r="L39" i="57"/>
  <c r="K39" i="57"/>
  <c r="J39" i="57"/>
  <c r="I39" i="57"/>
  <c r="H39" i="57"/>
  <c r="G39" i="57"/>
  <c r="F39" i="57"/>
  <c r="E39" i="57"/>
  <c r="C39" i="57"/>
  <c r="B39" i="57"/>
  <c r="O38" i="57"/>
  <c r="N38" i="57"/>
  <c r="M38" i="57"/>
  <c r="L38" i="57"/>
  <c r="K38" i="57"/>
  <c r="J38" i="57"/>
  <c r="I38" i="57"/>
  <c r="H38" i="57"/>
  <c r="G38" i="57"/>
  <c r="F38" i="57"/>
  <c r="E38" i="57"/>
  <c r="C38" i="57"/>
  <c r="B38" i="57"/>
  <c r="O37" i="57"/>
  <c r="N37" i="57"/>
  <c r="M37" i="57"/>
  <c r="L37" i="57"/>
  <c r="K37" i="57"/>
  <c r="J37" i="57"/>
  <c r="I37" i="57"/>
  <c r="H37" i="57"/>
  <c r="G37" i="57"/>
  <c r="F37" i="57"/>
  <c r="E37" i="57"/>
  <c r="C37" i="57"/>
  <c r="B37" i="57"/>
  <c r="O36" i="57"/>
  <c r="N36" i="57"/>
  <c r="M36" i="57"/>
  <c r="L36" i="57"/>
  <c r="K36" i="57"/>
  <c r="J36" i="57"/>
  <c r="I36" i="57"/>
  <c r="H36" i="57"/>
  <c r="G36" i="57"/>
  <c r="F36" i="57"/>
  <c r="E36" i="57"/>
  <c r="C36" i="57"/>
  <c r="B36" i="57"/>
  <c r="O35" i="57"/>
  <c r="N35" i="57"/>
  <c r="M35" i="57"/>
  <c r="L35" i="57"/>
  <c r="K35" i="57"/>
  <c r="J35" i="57"/>
  <c r="I35" i="57"/>
  <c r="H35" i="57"/>
  <c r="G35" i="57"/>
  <c r="F35" i="57"/>
  <c r="E35" i="57"/>
  <c r="C35" i="57"/>
  <c r="B35" i="57"/>
  <c r="O34" i="57"/>
  <c r="N34" i="57"/>
  <c r="M34" i="57"/>
  <c r="L34" i="57"/>
  <c r="K34" i="57"/>
  <c r="J34" i="57"/>
  <c r="I34" i="57"/>
  <c r="H34" i="57"/>
  <c r="G34" i="57"/>
  <c r="F34" i="57"/>
  <c r="E34" i="57"/>
  <c r="C34" i="57"/>
  <c r="B34" i="57"/>
  <c r="O33" i="57"/>
  <c r="N33" i="57"/>
  <c r="M33" i="57"/>
  <c r="L33" i="57"/>
  <c r="K33" i="57"/>
  <c r="J33" i="57"/>
  <c r="I33" i="57"/>
  <c r="H33" i="57"/>
  <c r="G33" i="57"/>
  <c r="F33" i="57"/>
  <c r="E33" i="57"/>
  <c r="C33" i="57"/>
  <c r="B33" i="57"/>
  <c r="O32" i="57"/>
  <c r="N32" i="57"/>
  <c r="M32" i="57"/>
  <c r="L32" i="57"/>
  <c r="K32" i="57"/>
  <c r="J32" i="57"/>
  <c r="I32" i="57"/>
  <c r="H32" i="57"/>
  <c r="G32" i="57"/>
  <c r="F32" i="57"/>
  <c r="E32" i="57"/>
  <c r="C32" i="57"/>
  <c r="B32" i="57"/>
  <c r="O31" i="57"/>
  <c r="N31" i="57"/>
  <c r="M31" i="57"/>
  <c r="L31" i="57"/>
  <c r="K31" i="57"/>
  <c r="J31" i="57"/>
  <c r="I31" i="57"/>
  <c r="H31" i="57"/>
  <c r="G31" i="57"/>
  <c r="F31" i="57"/>
  <c r="E31" i="57"/>
  <c r="C31" i="57"/>
  <c r="B31" i="57"/>
  <c r="O30" i="57"/>
  <c r="N30" i="57"/>
  <c r="M30" i="57"/>
  <c r="L30" i="57"/>
  <c r="K30" i="57"/>
  <c r="J30" i="57"/>
  <c r="I30" i="57"/>
  <c r="H30" i="57"/>
  <c r="G30" i="57"/>
  <c r="F30" i="57"/>
  <c r="E30" i="57"/>
  <c r="C30" i="57"/>
  <c r="B30" i="57"/>
  <c r="O29" i="57"/>
  <c r="N29" i="57"/>
  <c r="M29" i="57"/>
  <c r="L29" i="57"/>
  <c r="K29" i="57"/>
  <c r="J29" i="57"/>
  <c r="I29" i="57"/>
  <c r="H29" i="57"/>
  <c r="G29" i="57"/>
  <c r="F29" i="57"/>
  <c r="E29" i="57"/>
  <c r="C29" i="57"/>
  <c r="B29" i="57"/>
  <c r="O28" i="57"/>
  <c r="N28" i="57"/>
  <c r="M28" i="57"/>
  <c r="L28" i="57"/>
  <c r="K28" i="57"/>
  <c r="J28" i="57"/>
  <c r="I28" i="57"/>
  <c r="H28" i="57"/>
  <c r="G28" i="57"/>
  <c r="F28" i="57"/>
  <c r="E28" i="57"/>
  <c r="C28" i="57"/>
  <c r="B28" i="57"/>
  <c r="O27" i="57"/>
  <c r="N27" i="57"/>
  <c r="M27" i="57"/>
  <c r="L27" i="57"/>
  <c r="K27" i="57"/>
  <c r="J27" i="57"/>
  <c r="I27" i="57"/>
  <c r="H27" i="57"/>
  <c r="G27" i="57"/>
  <c r="F27" i="57"/>
  <c r="E27" i="57"/>
  <c r="C27" i="57"/>
  <c r="B27" i="57"/>
  <c r="O26" i="57"/>
  <c r="N26" i="57"/>
  <c r="M26" i="57"/>
  <c r="L26" i="57"/>
  <c r="K26" i="57"/>
  <c r="J26" i="57"/>
  <c r="I26" i="57"/>
  <c r="H26" i="57"/>
  <c r="G26" i="57"/>
  <c r="F26" i="57"/>
  <c r="E26" i="57"/>
  <c r="C26" i="57"/>
  <c r="B26" i="57"/>
  <c r="O25" i="57"/>
  <c r="N25" i="57"/>
  <c r="M25" i="57"/>
  <c r="L25" i="57"/>
  <c r="K25" i="57"/>
  <c r="J25" i="57"/>
  <c r="I25" i="57"/>
  <c r="H25" i="57"/>
  <c r="G25" i="57"/>
  <c r="F25" i="57"/>
  <c r="E25" i="57"/>
  <c r="C25" i="57"/>
  <c r="B25" i="57"/>
  <c r="O24" i="57"/>
  <c r="N24" i="57"/>
  <c r="M24" i="57"/>
  <c r="L24" i="57"/>
  <c r="K24" i="57"/>
  <c r="J24" i="57"/>
  <c r="I24" i="57"/>
  <c r="H24" i="57"/>
  <c r="G24" i="57"/>
  <c r="F24" i="57"/>
  <c r="E24" i="57"/>
  <c r="C24" i="57"/>
  <c r="B24" i="57"/>
  <c r="O23" i="57"/>
  <c r="N23" i="57"/>
  <c r="M23" i="57"/>
  <c r="L23" i="57"/>
  <c r="K23" i="57"/>
  <c r="J23" i="57"/>
  <c r="I23" i="57"/>
  <c r="H23" i="57"/>
  <c r="G23" i="57"/>
  <c r="F23" i="57"/>
  <c r="E23" i="57"/>
  <c r="C23" i="57"/>
  <c r="B23" i="57"/>
  <c r="O22" i="57"/>
  <c r="N22" i="57"/>
  <c r="M22" i="57"/>
  <c r="L22" i="57"/>
  <c r="K22" i="57"/>
  <c r="J22" i="57"/>
  <c r="I22" i="57"/>
  <c r="H22" i="57"/>
  <c r="G22" i="57"/>
  <c r="F22" i="57"/>
  <c r="E22" i="57"/>
  <c r="C22" i="57"/>
  <c r="B22" i="57"/>
  <c r="O21" i="57"/>
  <c r="N21" i="57"/>
  <c r="M21" i="57"/>
  <c r="L21" i="57"/>
  <c r="K21" i="57"/>
  <c r="J21" i="57"/>
  <c r="I21" i="57"/>
  <c r="H21" i="57"/>
  <c r="G21" i="57"/>
  <c r="F21" i="57"/>
  <c r="E21" i="57"/>
  <c r="C21" i="57"/>
  <c r="B21" i="57"/>
  <c r="O20" i="57"/>
  <c r="N20" i="57"/>
  <c r="M20" i="57"/>
  <c r="L20" i="57"/>
  <c r="K20" i="57"/>
  <c r="J20" i="57"/>
  <c r="I20" i="57"/>
  <c r="H20" i="57"/>
  <c r="G20" i="57"/>
  <c r="F20" i="57"/>
  <c r="E20" i="57"/>
  <c r="C20" i="57"/>
  <c r="B20" i="57"/>
  <c r="O19" i="57"/>
  <c r="N19" i="57"/>
  <c r="M19" i="57"/>
  <c r="L19" i="57"/>
  <c r="K19" i="57"/>
  <c r="J19" i="57"/>
  <c r="I19" i="57"/>
  <c r="H19" i="57"/>
  <c r="G19" i="57"/>
  <c r="F19" i="57"/>
  <c r="E19" i="57"/>
  <c r="C19" i="57"/>
  <c r="B19" i="57"/>
  <c r="D16" i="57"/>
  <c r="D15" i="57"/>
  <c r="D14" i="57"/>
  <c r="D13" i="57"/>
  <c r="N12" i="57"/>
  <c r="D12" i="57"/>
  <c r="N11" i="57"/>
  <c r="D11" i="57"/>
  <c r="N9" i="57"/>
  <c r="F45" i="56"/>
  <c r="C45" i="56"/>
  <c r="A43" i="56"/>
  <c r="A42" i="56"/>
  <c r="A41" i="56"/>
  <c r="A40" i="56"/>
  <c r="A39" i="56"/>
  <c r="A38" i="56"/>
  <c r="A37" i="56"/>
  <c r="A36" i="56"/>
  <c r="A35" i="56"/>
  <c r="A34" i="56"/>
  <c r="A33" i="56"/>
  <c r="A32" i="56"/>
  <c r="A31" i="56"/>
  <c r="A30" i="56"/>
  <c r="A29" i="56"/>
  <c r="A28" i="56"/>
  <c r="A27" i="56"/>
  <c r="A26" i="56"/>
  <c r="A25" i="56"/>
  <c r="A24" i="56"/>
  <c r="A23" i="56"/>
  <c r="A22" i="56"/>
  <c r="A21" i="56"/>
  <c r="A20" i="56"/>
  <c r="A19" i="56"/>
  <c r="D58" i="56"/>
  <c r="D58" i="66" l="1"/>
  <c r="A22" i="58"/>
  <c r="A22" i="66"/>
  <c r="A26" i="58"/>
  <c r="A26" i="66"/>
  <c r="A30" i="58"/>
  <c r="A30" i="66"/>
  <c r="A34" i="58"/>
  <c r="A34" i="66"/>
  <c r="A42" i="58"/>
  <c r="A42" i="66"/>
  <c r="A19" i="57"/>
  <c r="A19" i="66"/>
  <c r="A23" i="57"/>
  <c r="A23" i="66"/>
  <c r="A27" i="57"/>
  <c r="A27" i="66"/>
  <c r="A31" i="57"/>
  <c r="A31" i="66"/>
  <c r="A35" i="57"/>
  <c r="A35" i="66"/>
  <c r="A39" i="57"/>
  <c r="A39" i="66"/>
  <c r="A43" i="57"/>
  <c r="A43" i="66"/>
  <c r="A20" i="58"/>
  <c r="A20" i="66"/>
  <c r="C45" i="58"/>
  <c r="C45" i="66"/>
  <c r="A24" i="58"/>
  <c r="A24" i="66"/>
  <c r="A28" i="58"/>
  <c r="A28" i="66"/>
  <c r="A32" i="58"/>
  <c r="A32" i="66"/>
  <c r="A36" i="58"/>
  <c r="A36" i="66"/>
  <c r="A40" i="58"/>
  <c r="A40" i="66"/>
  <c r="A21" i="57"/>
  <c r="A21" i="66"/>
  <c r="A25" i="57"/>
  <c r="A25" i="66"/>
  <c r="A29" i="57"/>
  <c r="A29" i="66"/>
  <c r="A33" i="57"/>
  <c r="A33" i="66"/>
  <c r="A37" i="57"/>
  <c r="A37" i="66"/>
  <c r="A41" i="57"/>
  <c r="A41" i="66"/>
  <c r="F45" i="57"/>
  <c r="F45" i="66"/>
  <c r="A38" i="58"/>
  <c r="A38" i="66"/>
  <c r="D58" i="58"/>
  <c r="D58" i="57"/>
  <c r="F45" i="58"/>
  <c r="A20" i="57"/>
  <c r="A22" i="57"/>
  <c r="A24" i="57"/>
  <c r="A26" i="57"/>
  <c r="A28" i="57"/>
  <c r="A30" i="57"/>
  <c r="A32" i="57"/>
  <c r="A34" i="57"/>
  <c r="A36" i="57"/>
  <c r="A38" i="57"/>
  <c r="A40" i="57"/>
  <c r="A42" i="57"/>
  <c r="C45" i="57"/>
  <c r="A19" i="58"/>
  <c r="A21" i="58"/>
  <c r="A23" i="58"/>
  <c r="A25" i="58"/>
  <c r="A27" i="58"/>
  <c r="A29" i="58"/>
  <c r="A31" i="58"/>
  <c r="A33" i="58"/>
  <c r="A35" i="58"/>
  <c r="A37" i="58"/>
  <c r="A39" i="58"/>
  <c r="A41" i="58"/>
  <c r="A43" i="58"/>
</calcChain>
</file>

<file path=xl/sharedStrings.xml><?xml version="1.0" encoding="utf-8"?>
<sst xmlns="http://schemas.openxmlformats.org/spreadsheetml/2006/main" count="5222" uniqueCount="401">
  <si>
    <t>S.no</t>
  </si>
  <si>
    <t>Code</t>
  </si>
  <si>
    <t>Name of Product</t>
  </si>
  <si>
    <t>MRP</t>
  </si>
  <si>
    <t>Rate</t>
  </si>
  <si>
    <t>CGST</t>
  </si>
  <si>
    <t>SGST</t>
  </si>
  <si>
    <t>Taxable amount</t>
  </si>
  <si>
    <t>Amt</t>
  </si>
  <si>
    <t>HSN Code</t>
  </si>
  <si>
    <t>SNO</t>
  </si>
  <si>
    <t>VSP codes</t>
  </si>
  <si>
    <t>PRODUCT</t>
  </si>
  <si>
    <t>HSN</t>
  </si>
  <si>
    <t>Brand</t>
  </si>
  <si>
    <t>Mugi</t>
  </si>
  <si>
    <t>TopRamen</t>
  </si>
  <si>
    <t>Unibic</t>
  </si>
  <si>
    <t>PaperBoat</t>
  </si>
  <si>
    <t>Total Amount</t>
  </si>
  <si>
    <t>Address</t>
  </si>
  <si>
    <t>State</t>
  </si>
  <si>
    <t>GSTN</t>
  </si>
  <si>
    <t>Qty/ Unit</t>
  </si>
  <si>
    <t>S. no</t>
  </si>
  <si>
    <t>No.of Items :</t>
  </si>
  <si>
    <t>State          :</t>
  </si>
  <si>
    <t>Name         :</t>
  </si>
  <si>
    <t>VSP</t>
  </si>
  <si>
    <t>Store Name</t>
  </si>
  <si>
    <t>Phone.no</t>
  </si>
  <si>
    <t>Credit</t>
  </si>
  <si>
    <t>SM</t>
  </si>
  <si>
    <t>Cash</t>
  </si>
  <si>
    <t>Sanivada</t>
  </si>
  <si>
    <t>Duvvada</t>
  </si>
  <si>
    <t>Aganampudi</t>
  </si>
  <si>
    <t>Vadlapudi</t>
  </si>
  <si>
    <t>Andhra pradeh</t>
  </si>
  <si>
    <t>GSTN         :</t>
  </si>
  <si>
    <t>Total in Word  :</t>
  </si>
  <si>
    <t>Authorised Signatory</t>
  </si>
  <si>
    <t>For     PRAVEEN ENTERPRISES</t>
  </si>
  <si>
    <t>Phone        :</t>
  </si>
  <si>
    <t>Pin              :</t>
  </si>
  <si>
    <t>Pin Code</t>
  </si>
  <si>
    <t xml:space="preserve">Price with out tax </t>
  </si>
  <si>
    <t>Vsp</t>
  </si>
  <si>
    <t>Terms &amp; Conditions</t>
  </si>
  <si>
    <t>1. Goods once sold will not be taken back.</t>
  </si>
  <si>
    <t xml:space="preserve"> </t>
  </si>
  <si>
    <t>rate</t>
  </si>
  <si>
    <t>3. Subject to Visakhapatnam' jurisdiction only.</t>
  </si>
  <si>
    <t>Party Details</t>
  </si>
  <si>
    <t xml:space="preserve">No.of Units :    </t>
  </si>
  <si>
    <t>Tax Invoice</t>
  </si>
  <si>
    <t>present stock</t>
  </si>
  <si>
    <t>Date</t>
  </si>
  <si>
    <t>Bagrrys</t>
  </si>
  <si>
    <t>Baggry’s Crunchy Muesli - 40gm</t>
  </si>
  <si>
    <t>Baggry’s Corn Flakes Plus - 27gm</t>
  </si>
  <si>
    <t>Duplicate  for  Transporter</t>
  </si>
  <si>
    <t>Triplicate  for  Supplier</t>
  </si>
  <si>
    <t>Original for Recipient</t>
  </si>
  <si>
    <t>Invoice Number</t>
  </si>
  <si>
    <t>Store Details</t>
  </si>
  <si>
    <t>Taxable Amount</t>
  </si>
  <si>
    <t>Visakhapatnam</t>
  </si>
  <si>
    <t xml:space="preserve"> VSP  Code</t>
  </si>
  <si>
    <t>Units Per Box</t>
  </si>
  <si>
    <t>37AAAAV4378D1ZD</t>
  </si>
  <si>
    <t>Vendor Name</t>
  </si>
  <si>
    <t>IGST</t>
  </si>
  <si>
    <t>Indo Nissin Foods. Pvt.Ltd</t>
  </si>
  <si>
    <t>Purchase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</si>
  <si>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</si>
  <si>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Stocks in Boxes</t>
  </si>
  <si>
    <t>Sector - 1</t>
  </si>
  <si>
    <t>Sector - 3</t>
  </si>
  <si>
    <t>Sector - 5</t>
  </si>
  <si>
    <t>Sector - 6</t>
  </si>
  <si>
    <t>Sector - 8</t>
  </si>
  <si>
    <t>V.S.P.E.C.C.S Ltd,</t>
  </si>
  <si>
    <t>Phone No</t>
  </si>
  <si>
    <t>GSTN.no</t>
  </si>
  <si>
    <t>Stores</t>
  </si>
  <si>
    <t>payment</t>
  </si>
  <si>
    <t>Dis</t>
  </si>
  <si>
    <t>Invoice No :</t>
  </si>
  <si>
    <t>Date           :</t>
  </si>
  <si>
    <t>Payment    :</t>
  </si>
  <si>
    <t>Grand Total :</t>
  </si>
  <si>
    <t xml:space="preserve">    not made with in the stipulated time.</t>
  </si>
  <si>
    <t>Receiver's Signature</t>
  </si>
  <si>
    <t>Price (Unit)</t>
  </si>
  <si>
    <t>Bank Details     :</t>
  </si>
  <si>
    <t>Account Name   :</t>
  </si>
  <si>
    <t>IFSC Code         :</t>
  </si>
  <si>
    <t>Account.No        :</t>
  </si>
  <si>
    <t>Branch               :</t>
  </si>
  <si>
    <t>SGST %       :</t>
  </si>
  <si>
    <t>CGST %       :</t>
  </si>
  <si>
    <t>Sub Total     :</t>
  </si>
  <si>
    <t>2. Interest @ 18% p.a. will be charged if the payment is</t>
  </si>
  <si>
    <t>IndoNissin</t>
  </si>
  <si>
    <t>Andhra Pradesh</t>
  </si>
  <si>
    <t>RaviTeja Enterprises</t>
  </si>
  <si>
    <t>Taxable Amt</t>
  </si>
  <si>
    <t>Cgst</t>
  </si>
  <si>
    <t>Sgst</t>
  </si>
  <si>
    <t>Total Amt</t>
  </si>
  <si>
    <t>Total  :</t>
  </si>
  <si>
    <t xml:space="preserve">To       : </t>
  </si>
  <si>
    <t>From   :</t>
  </si>
  <si>
    <t>Venkata Padmavati Distributorrs</t>
  </si>
  <si>
    <t>Unibic Foods India Pvt.Ltd</t>
  </si>
  <si>
    <t>WS 233</t>
  </si>
  <si>
    <t>WS 236</t>
  </si>
  <si>
    <t>WS 256</t>
  </si>
  <si>
    <t>WS 257</t>
  </si>
  <si>
    <t>Andhra Pradeh</t>
  </si>
  <si>
    <t>Vsp Sec-1</t>
  </si>
  <si>
    <t>Vsp Sec-3</t>
  </si>
  <si>
    <t>Vsp Sec-5</t>
  </si>
  <si>
    <t>Vsp Sec-6</t>
  </si>
  <si>
    <t>Vsp Sec-8</t>
  </si>
  <si>
    <t>Vsp Sec-11</t>
  </si>
  <si>
    <t>Vsp Sec-12</t>
  </si>
  <si>
    <t>Vsp Kurmannapalem</t>
  </si>
  <si>
    <t>Vsp Sanivada</t>
  </si>
  <si>
    <t>Vsp Duvvada</t>
  </si>
  <si>
    <t>Vsp Aganampudi</t>
  </si>
  <si>
    <t>Vsp Pedagantyada</t>
  </si>
  <si>
    <t>Vsp Vadlapudi</t>
  </si>
  <si>
    <t>Vsp Lakshmipuram</t>
  </si>
  <si>
    <t>Vsp Office</t>
  </si>
  <si>
    <t>RK SuperMarket Dvd</t>
  </si>
  <si>
    <t>ASR SuperMarket</t>
  </si>
  <si>
    <t>Subhadra  SuperMarket</t>
  </si>
  <si>
    <t>Ravi Teja Ent</t>
  </si>
  <si>
    <t>Vsp pedagantyada</t>
  </si>
  <si>
    <t>Subhadra SuperMarket</t>
  </si>
  <si>
    <t>RaviTeja Ent</t>
  </si>
  <si>
    <t>wafers</t>
  </si>
  <si>
    <t>Invoice No</t>
  </si>
  <si>
    <t>Amount</t>
  </si>
  <si>
    <t>VSP / SM</t>
  </si>
  <si>
    <t>Coromandal</t>
  </si>
  <si>
    <t>WS265</t>
  </si>
  <si>
    <t>WS275</t>
  </si>
  <si>
    <t>WS278</t>
  </si>
  <si>
    <t>WS279</t>
  </si>
  <si>
    <t>WS281</t>
  </si>
  <si>
    <t>WS285</t>
  </si>
  <si>
    <t>Venkata</t>
  </si>
  <si>
    <t>Indo Nissin</t>
  </si>
  <si>
    <t>Akkayapalem, Visakhapatnam</t>
  </si>
  <si>
    <t>Vijayawada</t>
  </si>
  <si>
    <t>Bangalore</t>
  </si>
  <si>
    <t>Karnataka</t>
  </si>
  <si>
    <t>Balaji Sreekruthi Enterprises</t>
  </si>
  <si>
    <t>WS300</t>
  </si>
  <si>
    <t>12%  :</t>
  </si>
  <si>
    <t>18%  :</t>
  </si>
  <si>
    <t>28%  :</t>
  </si>
  <si>
    <t>Tax Rate</t>
  </si>
  <si>
    <t>5%   :</t>
  </si>
  <si>
    <t>CGST Amt</t>
  </si>
  <si>
    <t>SGST Amt</t>
  </si>
  <si>
    <t>Billing</t>
  </si>
  <si>
    <t>5%    :</t>
  </si>
  <si>
    <t>2. Interest @ 18% p.a. will be charged if the</t>
  </si>
  <si>
    <t xml:space="preserve">    payment is not made with in the stipulated time.</t>
  </si>
  <si>
    <t>R K STORES</t>
  </si>
  <si>
    <t>37CVXPM7274A1Z0</t>
  </si>
  <si>
    <t>SUBHADRA SUPER MARKET</t>
  </si>
  <si>
    <t>VISAKHAPATNAM STEEL PLANT EMPLOYEES CONSUMERS COOP STORES LTD</t>
  </si>
  <si>
    <t>Invoice date</t>
  </si>
  <si>
    <t>Invoice Value</t>
  </si>
  <si>
    <t>Taxable Value</t>
  </si>
  <si>
    <t>GSTIN/UIN of Recipient</t>
  </si>
  <si>
    <t>Receiver Name</t>
  </si>
  <si>
    <t>Place Of Supply</t>
  </si>
  <si>
    <t>37-Andhra Pradesh</t>
  </si>
  <si>
    <t>Reverse Charge</t>
  </si>
  <si>
    <t>N</t>
  </si>
  <si>
    <t>Invoice Type</t>
  </si>
  <si>
    <t>Regular</t>
  </si>
  <si>
    <t>E-Commerce GSTIN</t>
  </si>
  <si>
    <t>Cess Amount</t>
  </si>
  <si>
    <t>Lawrence</t>
  </si>
  <si>
    <t>Maiyas</t>
  </si>
  <si>
    <t>Berachah</t>
  </si>
  <si>
    <t>Fabric Conditioner - 400ml</t>
  </si>
  <si>
    <t>Fabric Conditioner - 200ml</t>
  </si>
  <si>
    <t>Family Pack</t>
  </si>
  <si>
    <t>Value Pack</t>
  </si>
  <si>
    <t>Masala Noodles - 70g</t>
  </si>
  <si>
    <t>Masala Noodles - 140g</t>
  </si>
  <si>
    <t>Masala Noodles - 280g</t>
  </si>
  <si>
    <t>Masala Noodles - 420g</t>
  </si>
  <si>
    <t>Atta Noodles - 70g</t>
  </si>
  <si>
    <t>Atta Noodles - 280g</t>
  </si>
  <si>
    <t>Curry Noodles - 280gm</t>
  </si>
  <si>
    <t>Cup Noodles -  70gm</t>
  </si>
  <si>
    <t>Aamras, Santra, apple - 1Ltr</t>
  </si>
  <si>
    <t>Anar- 1Ltr</t>
  </si>
  <si>
    <t>Alphanso - 150ml</t>
  </si>
  <si>
    <t>Aamras, Santra, apple - 180ml</t>
  </si>
  <si>
    <t>Anar - 180ml</t>
  </si>
  <si>
    <t>Chikki's</t>
  </si>
  <si>
    <t>Chikki's Jar</t>
  </si>
  <si>
    <t>Oat meal Digestive 1+1 - 150gm</t>
  </si>
  <si>
    <t>Choco Ripple &amp; Milk 1+1, 100gm</t>
  </si>
  <si>
    <t>Choco Rip, Milk, Orange 5/-</t>
  </si>
  <si>
    <t>Choco Rip, Milk, Orange 10/-</t>
  </si>
  <si>
    <t>Fruit Nut &amp; Choco nut 10/-</t>
  </si>
  <si>
    <t>Kesar Badam - 50gm</t>
  </si>
  <si>
    <t>Cashew &amp; Choco Chip - 75gm</t>
  </si>
  <si>
    <t>Fruit, Pista &amp; Choco Nut - 75gm</t>
  </si>
  <si>
    <t>Choco Kiss - 75gm</t>
  </si>
  <si>
    <t>Pillow Fruit-Choco Nut - 150gm</t>
  </si>
  <si>
    <t>Pillow Pista Badam - 150gm</t>
  </si>
  <si>
    <t>Pillow Cashew - 150gm</t>
  </si>
  <si>
    <t>Pillow Butter - 150gm</t>
  </si>
  <si>
    <t>Sugarfree Cashew</t>
  </si>
  <si>
    <t>SugarFree Multigrain - 75gm</t>
  </si>
  <si>
    <t>ATC Pista &amp; FruitNut - 150gm</t>
  </si>
  <si>
    <t>Atc Choco Chip - 150gm</t>
  </si>
  <si>
    <t>50/-</t>
  </si>
  <si>
    <t>ScotchFinger 60/-</t>
  </si>
  <si>
    <t>Corn Flakes Pouch - 200gm</t>
  </si>
  <si>
    <t>Corn Flakes Pouch - 500gm</t>
  </si>
  <si>
    <t>Choco Box - 375gm</t>
  </si>
  <si>
    <t>Choco Pouch - 26gm</t>
  </si>
  <si>
    <t>Rice Kodubale - 40gm</t>
  </si>
  <si>
    <t>Rice Kodubale - 185gm</t>
  </si>
  <si>
    <t>Murukku - 40gm</t>
  </si>
  <si>
    <t>Onion Kodubale - 45gm</t>
  </si>
  <si>
    <t>Spicy Mixture - 40gm</t>
  </si>
  <si>
    <t>Spicy Mixture - 120gm</t>
  </si>
  <si>
    <t>Bombay Mixture - 35gm</t>
  </si>
  <si>
    <t>Ribbon Pakoda -120gm</t>
  </si>
  <si>
    <t>Sambar Powder - 100gm</t>
  </si>
  <si>
    <t>Rasam Powder - 100gm</t>
  </si>
  <si>
    <t>Gulab Jamun Tin - 275gm</t>
  </si>
  <si>
    <t>Gulab Jamun Tin - 500gm</t>
  </si>
  <si>
    <t>Rasgulla Tin - 275gm</t>
  </si>
  <si>
    <t>Rasgulla Tin - 500gm</t>
  </si>
  <si>
    <t>Soan Papdi -70gm</t>
  </si>
  <si>
    <t>Gulab Jamun Mix 1+1 - 165gm</t>
  </si>
  <si>
    <t>Badam Drink Powder - 300gm</t>
  </si>
  <si>
    <t>Badam Milk Drink  - 180ml</t>
  </si>
  <si>
    <t>Chilli Powder - 50gm</t>
  </si>
  <si>
    <t>Chilli Powder - 100gm</t>
  </si>
  <si>
    <t>Chilli Powder - 500gm</t>
  </si>
  <si>
    <t>Turmeric Powder - 100gm</t>
  </si>
  <si>
    <t>Turmeric Powder - 500gm</t>
  </si>
  <si>
    <t>Dhaniya Powder - 500gm</t>
  </si>
  <si>
    <t>Fabric Conditioner - 800ml</t>
  </si>
  <si>
    <t>Ultra - 500+500ml</t>
  </si>
  <si>
    <t>Ultra - 200ml</t>
  </si>
  <si>
    <t>Ultra - 1000ml</t>
  </si>
  <si>
    <t>Ultra - 50ml</t>
  </si>
  <si>
    <t>Ultra - 30ml</t>
  </si>
  <si>
    <t>Ultra - 500ml</t>
  </si>
  <si>
    <t>Ultra - 1000+1000ml</t>
  </si>
  <si>
    <t>D/W Gel - 500ml</t>
  </si>
  <si>
    <t>D/W Gel - 250ML</t>
  </si>
  <si>
    <t>D/W Gel - 120ML</t>
  </si>
  <si>
    <t>D/w Gel - 250ml Buy 2+1</t>
  </si>
  <si>
    <t>D/W Gel 500+250ml</t>
  </si>
  <si>
    <t>D/W Round - 250gm</t>
  </si>
  <si>
    <t>D/W Round - 500gm</t>
  </si>
  <si>
    <t>D/w Bar - 130gm</t>
  </si>
  <si>
    <t>D/W Bar - 75gm</t>
  </si>
  <si>
    <t>Srub pad 75x100mm</t>
  </si>
  <si>
    <t>Wipeout - 1000ml</t>
  </si>
  <si>
    <t>Wipeout - 500ml+Spot 450ml</t>
  </si>
  <si>
    <t>Wipeout - 200ml</t>
  </si>
  <si>
    <t>Spoless - 450+450ml</t>
  </si>
  <si>
    <t>Spoless - 450+200ml</t>
  </si>
  <si>
    <t>Spoless - 200ml</t>
  </si>
  <si>
    <t>Spoless - 450 + 30% Extra</t>
  </si>
  <si>
    <t>BarCode1</t>
  </si>
  <si>
    <t>BarCode2</t>
  </si>
  <si>
    <t>BarCode3</t>
  </si>
  <si>
    <t>BarCode4</t>
  </si>
  <si>
    <t>BarCode5</t>
  </si>
  <si>
    <t>BarCode6</t>
  </si>
  <si>
    <t>BarCode7</t>
  </si>
  <si>
    <t>Ragi - 75gm</t>
  </si>
  <si>
    <t>Atc Choconut &amp; Cashew - 150gm</t>
  </si>
  <si>
    <t>Margin</t>
  </si>
  <si>
    <t>Disc</t>
  </si>
  <si>
    <t>Oat Meal Jar</t>
  </si>
  <si>
    <t>invoice Number</t>
  </si>
  <si>
    <t>invoice Date</t>
  </si>
  <si>
    <t>invoice Value</t>
  </si>
  <si>
    <t>E -Commerce GSTIN</t>
  </si>
  <si>
    <t>WS347</t>
  </si>
  <si>
    <t>WS351</t>
  </si>
  <si>
    <t>Gst</t>
  </si>
  <si>
    <t>Inter State</t>
  </si>
  <si>
    <t>Out State</t>
  </si>
  <si>
    <t>WS367</t>
  </si>
  <si>
    <t>WS368</t>
  </si>
  <si>
    <t>WS369</t>
  </si>
  <si>
    <t>S.v.s Agencies</t>
  </si>
  <si>
    <t>S. V. S Agencies</t>
  </si>
  <si>
    <t>Mallimangula Street, Anakapalle</t>
  </si>
  <si>
    <t>SVS136</t>
  </si>
  <si>
    <t>GST IN/OUT</t>
  </si>
  <si>
    <t>40% Oats - 75gm</t>
  </si>
  <si>
    <t>Doosra Jeera - 75gm</t>
  </si>
  <si>
    <t xml:space="preserve">     Store Details</t>
  </si>
  <si>
    <t>Holidays</t>
  </si>
  <si>
    <t>Sunday</t>
  </si>
  <si>
    <t>Monday</t>
  </si>
  <si>
    <t>Tuesday</t>
  </si>
  <si>
    <t>Wednesday</t>
  </si>
  <si>
    <t>Thursday</t>
  </si>
  <si>
    <t>Friday</t>
  </si>
  <si>
    <t>Saturday</t>
  </si>
  <si>
    <t>Weekday</t>
  </si>
  <si>
    <t>Soan Papdi -200gm</t>
  </si>
  <si>
    <t>Fabric Cond - 400ml Buy 2+1</t>
  </si>
  <si>
    <t>Sale</t>
  </si>
  <si>
    <t>Total    Amount</t>
  </si>
  <si>
    <t>Wipeout - 500ml Rs.76</t>
  </si>
  <si>
    <t>Wipeout - 500ml Rs.72</t>
  </si>
  <si>
    <t>Air</t>
  </si>
  <si>
    <t>SugarFree Rice Corn - 75gm</t>
  </si>
  <si>
    <t xml:space="preserve">Phone: XXXXXXXX, Email: XXXXXXXX@gmail.com </t>
  </si>
  <si>
    <t xml:space="preserve">GSTN: XXXXXXXX  </t>
  </si>
  <si>
    <t>Firm Name</t>
  </si>
  <si>
    <t xml:space="preserve"> Address</t>
  </si>
  <si>
    <t>GSTN: XXXXXXXX</t>
  </si>
  <si>
    <t>37AAAXXXXXXXXXX</t>
  </si>
  <si>
    <t>37ANUXXXXXXXXXX</t>
  </si>
  <si>
    <t>37BNXXXXXXXXXXX</t>
  </si>
  <si>
    <t>37AYSXXXXXXXXXX</t>
  </si>
  <si>
    <t>37CVXXXXXXXXXXX</t>
  </si>
  <si>
    <t>37BOJXXXXXXXXXX</t>
  </si>
  <si>
    <t>37AKAXXXXXXXXXX</t>
  </si>
  <si>
    <t xml:space="preserve">VISAKHAPATNAM STEEL </t>
  </si>
  <si>
    <t>M/S A.S.R. SUPER MAR</t>
  </si>
  <si>
    <t>M/S RAVI TEJA ENTERP</t>
  </si>
  <si>
    <t>INDO NISSIN FOODS PR</t>
  </si>
  <si>
    <t>SUBHADRA SUPER MARKE</t>
  </si>
  <si>
    <t>COROMANDAL FERTILIZE</t>
  </si>
  <si>
    <t xml:space="preserve">BERACHAH BEST PLACE </t>
  </si>
  <si>
    <t>ANURAG VARIETY STORE</t>
  </si>
  <si>
    <t>93XXXXXXXX</t>
  </si>
  <si>
    <t>kXXXXXXXX</t>
  </si>
  <si>
    <t>XXXXXXXX</t>
  </si>
  <si>
    <t>99XXXXXXXX</t>
  </si>
  <si>
    <t>81XXXXXXXX</t>
  </si>
  <si>
    <t>73XXXXXXXX</t>
  </si>
  <si>
    <t>94XXXXXXXX</t>
  </si>
  <si>
    <t>87XXXXXXXX</t>
  </si>
  <si>
    <t>Kurmannapa</t>
  </si>
  <si>
    <t>Pedagantya</t>
  </si>
  <si>
    <t>Lakshmipur</t>
  </si>
  <si>
    <t>Office, Ru</t>
  </si>
  <si>
    <t/>
  </si>
  <si>
    <t>Subhadra S</t>
  </si>
  <si>
    <t>RaviTeja E</t>
  </si>
  <si>
    <t>RK Stores,</t>
  </si>
  <si>
    <t>Indo Nissi</t>
  </si>
  <si>
    <t>A. S. R Su</t>
  </si>
  <si>
    <t>Berachah B</t>
  </si>
  <si>
    <t>Anurag Var</t>
  </si>
  <si>
    <t>Ukkunagaram, Visakha</t>
  </si>
  <si>
    <t>Paravada, Visakhapat</t>
  </si>
  <si>
    <t>Old Venkojipalem, Vi</t>
  </si>
  <si>
    <t>Duvvada, Visakhapatn</t>
  </si>
  <si>
    <t>D.no.1-208,RS.No 170</t>
  </si>
  <si>
    <t>Kakaninagar, Visakha</t>
  </si>
  <si>
    <t>Sriharipuram, Visakh</t>
  </si>
  <si>
    <t>Desapatrunipalem, Vi</t>
  </si>
  <si>
    <t>SHA, 1st floor, Airp</t>
  </si>
  <si>
    <t>53XXXX</t>
  </si>
  <si>
    <t>52XXXX</t>
  </si>
  <si>
    <t>Venkata Pa</t>
  </si>
  <si>
    <t>Indo Ni</t>
  </si>
  <si>
    <t>Unibi</t>
  </si>
  <si>
    <t>92XXXXXXXX</t>
  </si>
  <si>
    <t>56XXXX</t>
  </si>
  <si>
    <t>XXXXXX</t>
  </si>
  <si>
    <t>37ADOXXXXXXXXXX</t>
  </si>
  <si>
    <t>29AAAXXXXXXXXXX</t>
  </si>
  <si>
    <t>37BGBXXXXXXXXXX</t>
  </si>
  <si>
    <t>Address: XXXXXXXXXXXXXXXXX, XXXXXXXXXXXXXX</t>
  </si>
  <si>
    <t xml:space="preserve">Phone: XXXXX-XXXXX, Email: XXXXX-XXXXX@gmail.com </t>
  </si>
  <si>
    <t xml:space="preserve">GSTN: XXXXXXXXXXXXXXX </t>
  </si>
  <si>
    <t>XXXXXXXXXXXX</t>
  </si>
  <si>
    <t>IFSCXXXXXX</t>
  </si>
  <si>
    <t>BankXXXXX</t>
  </si>
  <si>
    <t>BranchXXXX</t>
  </si>
  <si>
    <t>FirmName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</si>
</sst>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\ &quot;Pcs&quot;"/>
    <numFmt numFmtId="165" formatCode="###,##0.00"/>
    <numFmt numFmtId="166" formatCode="000\-00\-00#"/>
    <numFmt numFmtId="167" formatCode="[$-409]d/mmm/yyyy;@"/>
    <numFmt numFmtId="168" formatCode="0.0"/>
    <numFmt numFmtId="169" formatCode="0.0000"/>
    <numFmt numFmtId="170" formatCode="000\-00\-000#"/>
    <numFmt numFmtId="171" formatCode="mmm/yyyy"/>
    <numFmt numFmtId="172" formatCode="00000000"/>
    <numFmt numFmtId="173" formatCode="0&quot;/-&quot;"/>
    <numFmt numFmtId="174" formatCode="0000000000000"/>
    <numFmt numFmtId="175" formatCode="000000"/>
  </numFmts>
  <fonts count="4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Bell MT"/>
      <family val="1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Bell MT"/>
      <family val="1"/>
    </font>
    <font>
      <b/>
      <sz val="22"/>
      <name val="Bell MT"/>
      <family val="1"/>
    </font>
    <font>
      <sz val="9"/>
      <color theme="1"/>
      <name val="Calibri"/>
      <family val="2"/>
      <scheme val="minor"/>
    </font>
    <font>
      <b/>
      <sz val="9.8000000000000007"/>
      <name val="Bell MT"/>
      <family val="1"/>
    </font>
    <font>
      <sz val="9.8000000000000007"/>
      <color theme="1"/>
      <name val="Calibri"/>
      <family val="2"/>
      <scheme val="minor"/>
    </font>
    <font>
      <b/>
      <sz val="9.8000000000000007"/>
      <color theme="1"/>
      <name val="Calibri"/>
      <family val="2"/>
      <scheme val="minor"/>
    </font>
    <font>
      <b/>
      <sz val="9.8000000000000007"/>
      <name val="Calibri"/>
      <family val="2"/>
      <scheme val="minor"/>
    </font>
    <font>
      <sz val="9.8000000000000007"/>
      <name val="Calibri"/>
      <family val="2"/>
      <scheme val="minor"/>
    </font>
    <font>
      <b/>
      <sz val="24"/>
      <name val="Bell MT"/>
      <family val="1"/>
    </font>
    <font>
      <b/>
      <u/>
      <sz val="14"/>
      <color theme="1"/>
      <name val="Bell MT"/>
      <family val="1"/>
    </font>
    <font>
      <sz val="9.5"/>
      <color theme="1"/>
      <name val="Calibri"/>
      <family val="2"/>
      <scheme val="minor"/>
    </font>
    <font>
      <b/>
      <sz val="13"/>
      <color theme="1"/>
      <name val="Bell MT"/>
      <family val="1"/>
    </font>
    <font>
      <sz val="9.5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3"/>
      <color theme="1"/>
      <name val="Arial"/>
      <family val="2"/>
    </font>
    <font>
      <sz val="8"/>
      <color theme="1"/>
      <name val="Arial"/>
      <family val="2"/>
    </font>
    <font>
      <b/>
      <sz val="9.5"/>
      <color theme="1"/>
      <name val="Arial"/>
      <family val="2"/>
    </font>
    <font>
      <b/>
      <u/>
      <sz val="10"/>
      <color theme="1"/>
      <name val="Arial"/>
      <family val="2"/>
    </font>
    <font>
      <b/>
      <sz val="12"/>
      <color theme="1"/>
      <name val="Arial"/>
      <family val="2"/>
    </font>
    <font>
      <b/>
      <sz val="22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9.8000000000000007"/>
      <color theme="1"/>
      <name val="Arial"/>
      <family val="2"/>
    </font>
    <font>
      <sz val="16"/>
      <color theme="1"/>
      <name val="Arial"/>
      <family val="2"/>
    </font>
    <font>
      <b/>
      <sz val="9.8000000000000007"/>
      <name val="Arial"/>
      <family val="2"/>
    </font>
    <font>
      <b/>
      <sz val="9.8000000000000007"/>
      <color theme="1"/>
      <name val="Arial"/>
      <family val="2"/>
    </font>
    <font>
      <sz val="9.8000000000000007"/>
      <name val="Arial"/>
      <family val="2"/>
    </font>
    <font>
      <b/>
      <sz val="14"/>
      <name val="Arial"/>
      <family val="2"/>
    </font>
    <font>
      <b/>
      <sz val="8.5"/>
      <color theme="1"/>
      <name val="Arial"/>
      <family val="2"/>
    </font>
    <font>
      <b/>
      <sz val="18"/>
      <color theme="1"/>
      <name val="Bell MT"/>
      <family val="1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30FD13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dashDot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ashDot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Dot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dashDot">
        <color indexed="64"/>
      </bottom>
      <diagonal/>
    </border>
    <border>
      <left style="hair">
        <color indexed="64"/>
      </left>
      <right style="hair">
        <color indexed="64"/>
      </right>
      <top/>
      <bottom style="dashDot">
        <color indexed="64"/>
      </bottom>
      <diagonal/>
    </border>
    <border>
      <left style="hair">
        <color indexed="64"/>
      </left>
      <right style="thin">
        <color indexed="64"/>
      </right>
      <top/>
      <bottom style="dashDot">
        <color indexed="64"/>
      </bottom>
      <diagonal/>
    </border>
  </borders>
  <cellStyleXfs count="1">
    <xf numFmtId="0" fontId="0" fillId="0" borderId="0"/>
  </cellStyleXfs>
  <cellXfs count="66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Border="1" applyProtection="1"/>
    <xf numFmtId="0" fontId="6" fillId="0" borderId="0" xfId="0" applyFont="1" applyBorder="1" applyAlignment="1" applyProtection="1"/>
    <xf numFmtId="0" fontId="2" fillId="0" borderId="0" xfId="0" applyFont="1" applyProtection="1"/>
    <xf numFmtId="0" fontId="2" fillId="0" borderId="0" xfId="0" applyFont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1" fillId="0" borderId="0" xfId="0" applyFont="1" applyFill="1"/>
    <xf numFmtId="0" fontId="1" fillId="0" borderId="0" xfId="0" applyNumberFormat="1" applyFont="1" applyAlignment="1">
      <alignment horizontal="center"/>
    </xf>
    <xf numFmtId="169" fontId="1" fillId="0" borderId="0" xfId="0" applyNumberFormat="1" applyFont="1"/>
    <xf numFmtId="0" fontId="1" fillId="0" borderId="0" xfId="0" applyNumberFormat="1" applyFont="1"/>
    <xf numFmtId="0" fontId="6" fillId="0" borderId="0" xfId="0" applyFont="1" applyBorder="1" applyAlignment="1" applyProtection="1">
      <alignment horizontal="right" vertical="center"/>
    </xf>
    <xf numFmtId="166" fontId="5" fillId="0" borderId="3" xfId="0" applyNumberFormat="1" applyFont="1" applyBorder="1" applyAlignment="1" applyProtection="1">
      <alignment horizontal="right"/>
    </xf>
    <xf numFmtId="0" fontId="7" fillId="0" borderId="3" xfId="0" applyFont="1" applyBorder="1" applyProtection="1"/>
    <xf numFmtId="167" fontId="5" fillId="0" borderId="3" xfId="0" applyNumberFormat="1" applyFont="1" applyBorder="1" applyAlignment="1" applyProtection="1">
      <alignment horizontal="right" vertical="center"/>
    </xf>
    <xf numFmtId="0" fontId="5" fillId="0" borderId="3" xfId="0" applyFont="1" applyBorder="1" applyAlignment="1" applyProtection="1">
      <alignment horizontal="right"/>
    </xf>
    <xf numFmtId="0" fontId="5" fillId="0" borderId="3" xfId="0" applyFont="1" applyBorder="1" applyProtection="1"/>
    <xf numFmtId="0" fontId="7" fillId="0" borderId="10" xfId="0" applyFont="1" applyBorder="1" applyProtection="1"/>
    <xf numFmtId="0" fontId="7" fillId="0" borderId="11" xfId="0" applyFont="1" applyBorder="1" applyProtection="1"/>
    <xf numFmtId="0" fontId="7" fillId="0" borderId="9" xfId="0" applyFont="1" applyBorder="1" applyProtection="1"/>
    <xf numFmtId="0" fontId="9" fillId="0" borderId="10" xfId="0" applyFont="1" applyBorder="1" applyProtection="1"/>
    <xf numFmtId="0" fontId="9" fillId="0" borderId="10" xfId="0" applyFont="1" applyBorder="1" applyAlignment="1" applyProtection="1">
      <alignment horizontal="center"/>
    </xf>
    <xf numFmtId="0" fontId="7" fillId="0" borderId="10" xfId="0" applyFont="1" applyBorder="1" applyAlignment="1" applyProtection="1">
      <alignment horizontal="center"/>
    </xf>
    <xf numFmtId="0" fontId="7" fillId="0" borderId="4" xfId="0" applyFont="1" applyBorder="1" applyProtection="1"/>
    <xf numFmtId="0" fontId="10" fillId="0" borderId="4" xfId="0" applyFont="1" applyBorder="1" applyAlignment="1" applyProtection="1">
      <alignment horizontal="left"/>
    </xf>
    <xf numFmtId="165" fontId="12" fillId="0" borderId="3" xfId="0" applyNumberFormat="1" applyFont="1" applyBorder="1" applyAlignment="1" applyProtection="1">
      <alignment horizontal="right"/>
    </xf>
    <xf numFmtId="0" fontId="12" fillId="0" borderId="2" xfId="0" applyFont="1" applyFill="1" applyBorder="1" applyAlignment="1" applyProtection="1">
      <alignment horizontal="center"/>
    </xf>
    <xf numFmtId="164" fontId="12" fillId="0" borderId="2" xfId="0" applyNumberFormat="1" applyFont="1" applyBorder="1" applyAlignment="1" applyProtection="1">
      <alignment horizontal="right"/>
    </xf>
    <xf numFmtId="0" fontId="12" fillId="0" borderId="2" xfId="0" applyFont="1" applyBorder="1" applyAlignment="1" applyProtection="1">
      <alignment horizontal="right"/>
    </xf>
    <xf numFmtId="168" fontId="12" fillId="0" borderId="2" xfId="0" applyNumberFormat="1" applyFont="1" applyBorder="1" applyAlignment="1" applyProtection="1">
      <alignment horizontal="right"/>
    </xf>
    <xf numFmtId="0" fontId="12" fillId="0" borderId="2" xfId="0" applyFont="1" applyBorder="1" applyAlignment="1" applyProtection="1">
      <alignment horizontal="center"/>
    </xf>
    <xf numFmtId="169" fontId="1" fillId="0" borderId="7" xfId="0" applyNumberFormat="1" applyFont="1" applyBorder="1" applyAlignment="1">
      <alignment horizontal="center" vertical="center"/>
    </xf>
    <xf numFmtId="0" fontId="1" fillId="0" borderId="7" xfId="0" applyNumberFormat="1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/>
    <xf numFmtId="169" fontId="1" fillId="3" borderId="1" xfId="0" applyNumberFormat="1" applyFont="1" applyFill="1" applyBorder="1"/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Protection="1"/>
    <xf numFmtId="0" fontId="1" fillId="4" borderId="1" xfId="0" applyNumberFormat="1" applyFont="1" applyFill="1" applyBorder="1" applyAlignment="1">
      <alignment horizontal="center"/>
    </xf>
    <xf numFmtId="0" fontId="1" fillId="4" borderId="1" xfId="0" applyFont="1" applyFill="1" applyBorder="1"/>
    <xf numFmtId="169" fontId="1" fillId="4" borderId="1" xfId="0" applyNumberFormat="1" applyFont="1" applyFill="1" applyBorder="1"/>
    <xf numFmtId="0" fontId="1" fillId="4" borderId="1" xfId="0" applyNumberFormat="1" applyFont="1" applyFill="1" applyBorder="1" applyProtection="1"/>
    <xf numFmtId="0" fontId="1" fillId="5" borderId="1" xfId="0" applyFont="1" applyFill="1" applyBorder="1" applyAlignment="1">
      <alignment horizontal="center"/>
    </xf>
    <xf numFmtId="0" fontId="1" fillId="5" borderId="1" xfId="0" applyFont="1" applyFill="1" applyBorder="1" applyProtection="1"/>
    <xf numFmtId="0" fontId="1" fillId="5" borderId="1" xfId="0" applyNumberFormat="1" applyFont="1" applyFill="1" applyBorder="1" applyAlignment="1">
      <alignment horizontal="center"/>
    </xf>
    <xf numFmtId="0" fontId="1" fillId="5" borderId="1" xfId="0" applyFont="1" applyFill="1" applyBorder="1"/>
    <xf numFmtId="169" fontId="1" fillId="5" borderId="1" xfId="0" applyNumberFormat="1" applyFont="1" applyFill="1" applyBorder="1" applyProtection="1"/>
    <xf numFmtId="0" fontId="1" fillId="5" borderId="1" xfId="0" applyNumberFormat="1" applyFont="1" applyFill="1" applyBorder="1" applyProtection="1"/>
    <xf numFmtId="0" fontId="1" fillId="3" borderId="1" xfId="0" applyNumberFormat="1" applyFont="1" applyFill="1" applyBorder="1"/>
    <xf numFmtId="0" fontId="13" fillId="0" borderId="0" xfId="0" applyFont="1" applyFill="1" applyBorder="1" applyAlignment="1" applyProtection="1"/>
    <xf numFmtId="0" fontId="14" fillId="0" borderId="0" xfId="0" applyFont="1"/>
    <xf numFmtId="0" fontId="17" fillId="0" borderId="0" xfId="0" applyFont="1" applyFill="1"/>
    <xf numFmtId="0" fontId="14" fillId="0" borderId="0" xfId="0" applyFont="1" applyBorder="1"/>
    <xf numFmtId="0" fontId="17" fillId="0" borderId="0" xfId="0" applyFont="1" applyFill="1" applyBorder="1"/>
    <xf numFmtId="0" fontId="14" fillId="0" borderId="0" xfId="0" applyFont="1" applyBorder="1" applyAlignment="1">
      <alignment horizontal="center"/>
    </xf>
    <xf numFmtId="0" fontId="14" fillId="0" borderId="0" xfId="0" applyFont="1" applyBorder="1" applyAlignment="1">
      <alignment horizontal="left"/>
    </xf>
    <xf numFmtId="0" fontId="8" fillId="5" borderId="1" xfId="0" applyFont="1" applyFill="1" applyBorder="1"/>
    <xf numFmtId="0" fontId="8" fillId="4" borderId="1" xfId="0" applyFont="1" applyFill="1" applyBorder="1"/>
    <xf numFmtId="0" fontId="8" fillId="3" borderId="1" xfId="0" applyFont="1" applyFill="1" applyBorder="1"/>
    <xf numFmtId="1" fontId="12" fillId="0" borderId="2" xfId="0" applyNumberFormat="1" applyFont="1" applyBorder="1" applyAlignment="1" applyProtection="1">
      <alignment horizontal="center"/>
    </xf>
    <xf numFmtId="0" fontId="16" fillId="0" borderId="22" xfId="0" applyFont="1" applyFill="1" applyBorder="1" applyAlignment="1">
      <alignment horizontal="center" vertical="center" wrapText="1"/>
    </xf>
    <xf numFmtId="0" fontId="16" fillId="0" borderId="22" xfId="0" applyFont="1" applyFill="1" applyBorder="1" applyAlignment="1">
      <alignment horizontal="left" vertical="center" wrapText="1"/>
    </xf>
    <xf numFmtId="15" fontId="14" fillId="0" borderId="0" xfId="0" applyNumberFormat="1" applyFont="1" applyBorder="1" applyAlignment="1">
      <alignment horizontal="center"/>
    </xf>
    <xf numFmtId="0" fontId="1" fillId="0" borderId="0" xfId="0" applyFont="1" applyAlignment="1"/>
    <xf numFmtId="0" fontId="1" fillId="6" borderId="1" xfId="0" applyFont="1" applyFill="1" applyBorder="1"/>
    <xf numFmtId="169" fontId="1" fillId="0" borderId="7" xfId="0" applyNumberFormat="1" applyFont="1" applyBorder="1" applyAlignment="1">
      <alignment horizontal="center"/>
    </xf>
    <xf numFmtId="169" fontId="1" fillId="4" borderId="1" xfId="0" applyNumberFormat="1" applyFont="1" applyFill="1" applyBorder="1" applyAlignment="1">
      <alignment horizontal="right"/>
    </xf>
    <xf numFmtId="169" fontId="1" fillId="5" borderId="1" xfId="0" applyNumberFormat="1" applyFont="1" applyFill="1" applyBorder="1" applyAlignment="1">
      <alignment horizontal="right"/>
    </xf>
    <xf numFmtId="169" fontId="1" fillId="0" borderId="0" xfId="0" applyNumberFormat="1" applyFont="1" applyAlignment="1">
      <alignment horizontal="right"/>
    </xf>
    <xf numFmtId="0" fontId="20" fillId="0" borderId="0" xfId="0" applyFont="1" applyBorder="1" applyProtection="1"/>
    <xf numFmtId="0" fontId="20" fillId="0" borderId="0" xfId="0" applyFont="1" applyProtection="1"/>
    <xf numFmtId="165" fontId="20" fillId="0" borderId="3" xfId="0" applyNumberFormat="1" applyFont="1" applyBorder="1" applyAlignment="1" applyProtection="1">
      <alignment horizontal="right"/>
    </xf>
    <xf numFmtId="0" fontId="20" fillId="0" borderId="0" xfId="0" applyFont="1" applyBorder="1" applyAlignment="1" applyProtection="1"/>
    <xf numFmtId="0" fontId="20" fillId="0" borderId="0" xfId="0" applyFont="1" applyAlignment="1" applyProtection="1"/>
    <xf numFmtId="2" fontId="7" fillId="0" borderId="10" xfId="0" applyNumberFormat="1" applyFont="1" applyBorder="1" applyProtection="1"/>
    <xf numFmtId="2" fontId="7" fillId="0" borderId="0" xfId="0" applyNumberFormat="1" applyFont="1" applyBorder="1" applyProtection="1"/>
    <xf numFmtId="2" fontId="12" fillId="0" borderId="2" xfId="0" applyNumberFormat="1" applyFont="1" applyBorder="1" applyAlignment="1" applyProtection="1">
      <alignment horizontal="right"/>
    </xf>
    <xf numFmtId="2" fontId="2" fillId="0" borderId="0" xfId="0" applyNumberFormat="1" applyFont="1" applyBorder="1" applyProtection="1"/>
    <xf numFmtId="2" fontId="2" fillId="0" borderId="0" xfId="0" applyNumberFormat="1" applyFont="1" applyProtection="1"/>
    <xf numFmtId="168" fontId="7" fillId="0" borderId="10" xfId="0" applyNumberFormat="1" applyFont="1" applyBorder="1" applyProtection="1"/>
    <xf numFmtId="168" fontId="7" fillId="0" borderId="0" xfId="0" applyNumberFormat="1" applyFont="1" applyBorder="1" applyProtection="1"/>
    <xf numFmtId="168" fontId="2" fillId="0" borderId="0" xfId="0" applyNumberFormat="1" applyFont="1" applyProtection="1"/>
    <xf numFmtId="2" fontId="6" fillId="0" borderId="0" xfId="0" applyNumberFormat="1" applyFont="1" applyBorder="1" applyAlignment="1" applyProtection="1">
      <alignment horizontal="right"/>
    </xf>
    <xf numFmtId="2" fontId="7" fillId="0" borderId="11" xfId="0" applyNumberFormat="1" applyFont="1" applyBorder="1" applyAlignment="1" applyProtection="1">
      <alignment horizontal="right"/>
    </xf>
    <xf numFmtId="2" fontId="7" fillId="0" borderId="3" xfId="0" applyNumberFormat="1" applyFont="1" applyBorder="1" applyAlignment="1" applyProtection="1">
      <alignment horizontal="right"/>
    </xf>
    <xf numFmtId="2" fontId="2" fillId="0" borderId="0" xfId="0" applyNumberFormat="1" applyFont="1" applyAlignment="1" applyProtection="1">
      <alignment horizontal="right"/>
    </xf>
    <xf numFmtId="2" fontId="0" fillId="0" borderId="10" xfId="0" applyNumberFormat="1" applyFont="1" applyBorder="1" applyProtection="1"/>
    <xf numFmtId="2" fontId="0" fillId="0" borderId="0" xfId="0" applyNumberFormat="1" applyFont="1" applyBorder="1" applyProtection="1"/>
    <xf numFmtId="168" fontId="0" fillId="0" borderId="10" xfId="0" applyNumberFormat="1" applyFont="1" applyBorder="1" applyProtection="1"/>
    <xf numFmtId="168" fontId="0" fillId="0" borderId="0" xfId="0" applyNumberFormat="1" applyFont="1" applyBorder="1" applyProtection="1"/>
    <xf numFmtId="2" fontId="1" fillId="0" borderId="0" xfId="0" applyNumberFormat="1" applyFont="1" applyBorder="1" applyProtection="1"/>
    <xf numFmtId="2" fontId="12" fillId="0" borderId="4" xfId="0" applyNumberFormat="1" applyFont="1" applyBorder="1" applyAlignment="1" applyProtection="1">
      <alignment horizontal="right"/>
    </xf>
    <xf numFmtId="0" fontId="26" fillId="0" borderId="0" xfId="0" applyFont="1" applyBorder="1" applyAlignment="1" applyProtection="1">
      <alignment horizontal="center"/>
    </xf>
    <xf numFmtId="0" fontId="26" fillId="0" borderId="0" xfId="0" applyFont="1" applyAlignment="1" applyProtection="1">
      <alignment horizontal="center"/>
    </xf>
    <xf numFmtId="168" fontId="26" fillId="0" borderId="1" xfId="0" applyNumberFormat="1" applyFont="1" applyBorder="1" applyAlignment="1" applyProtection="1">
      <alignment horizontal="center"/>
    </xf>
    <xf numFmtId="2" fontId="26" fillId="0" borderId="1" xfId="0" applyNumberFormat="1" applyFont="1" applyBorder="1" applyAlignment="1" applyProtection="1">
      <alignment horizontal="center"/>
    </xf>
    <xf numFmtId="0" fontId="23" fillId="0" borderId="2" xfId="0" applyFont="1" applyFill="1" applyBorder="1" applyAlignment="1" applyProtection="1">
      <alignment horizontal="center"/>
    </xf>
    <xf numFmtId="1" fontId="23" fillId="0" borderId="2" xfId="0" applyNumberFormat="1" applyFont="1" applyBorder="1" applyAlignment="1" applyProtection="1">
      <alignment horizontal="center"/>
    </xf>
    <xf numFmtId="164" fontId="23" fillId="0" borderId="2" xfId="0" applyNumberFormat="1" applyFont="1" applyBorder="1" applyAlignment="1" applyProtection="1">
      <alignment horizontal="right"/>
    </xf>
    <xf numFmtId="1" fontId="23" fillId="0" borderId="2" xfId="0" applyNumberFormat="1" applyFont="1" applyBorder="1" applyAlignment="1" applyProtection="1">
      <alignment horizontal="right"/>
    </xf>
    <xf numFmtId="2" fontId="23" fillId="0" borderId="2" xfId="0" applyNumberFormat="1" applyFont="1" applyBorder="1" applyAlignment="1" applyProtection="1">
      <alignment horizontal="right"/>
    </xf>
    <xf numFmtId="168" fontId="23" fillId="0" borderId="2" xfId="0" applyNumberFormat="1" applyFont="1" applyBorder="1" applyAlignment="1" applyProtection="1">
      <alignment horizontal="right"/>
    </xf>
    <xf numFmtId="2" fontId="23" fillId="0" borderId="9" xfId="0" applyNumberFormat="1" applyFont="1" applyBorder="1" applyAlignment="1" applyProtection="1">
      <alignment horizontal="right"/>
    </xf>
    <xf numFmtId="0" fontId="23" fillId="0" borderId="2" xfId="0" applyFont="1" applyBorder="1" applyAlignment="1" applyProtection="1">
      <alignment horizontal="right"/>
    </xf>
    <xf numFmtId="2" fontId="23" fillId="0" borderId="4" xfId="0" applyNumberFormat="1" applyFont="1" applyBorder="1" applyAlignment="1" applyProtection="1">
      <alignment horizontal="right"/>
    </xf>
    <xf numFmtId="0" fontId="28" fillId="0" borderId="0" xfId="0" applyFont="1" applyBorder="1" applyAlignment="1" applyProtection="1">
      <alignment horizontal="center"/>
    </xf>
    <xf numFmtId="0" fontId="28" fillId="0" borderId="0" xfId="0" applyFont="1" applyBorder="1" applyProtection="1"/>
    <xf numFmtId="2" fontId="28" fillId="0" borderId="0" xfId="0" applyNumberFormat="1" applyFont="1" applyBorder="1" applyProtection="1"/>
    <xf numFmtId="168" fontId="29" fillId="0" borderId="0" xfId="0" applyNumberFormat="1" applyFont="1" applyBorder="1" applyProtection="1"/>
    <xf numFmtId="2" fontId="29" fillId="0" borderId="0" xfId="0" applyNumberFormat="1" applyFont="1" applyBorder="1" applyProtection="1"/>
    <xf numFmtId="2" fontId="23" fillId="0" borderId="16" xfId="0" applyNumberFormat="1" applyFont="1" applyBorder="1" applyProtection="1"/>
    <xf numFmtId="0" fontId="23" fillId="0" borderId="16" xfId="0" applyFont="1" applyBorder="1" applyProtection="1"/>
    <xf numFmtId="2" fontId="23" fillId="0" borderId="16" xfId="0" applyNumberFormat="1" applyFont="1" applyBorder="1" applyAlignment="1" applyProtection="1">
      <alignment horizontal="right"/>
    </xf>
    <xf numFmtId="168" fontId="23" fillId="0" borderId="16" xfId="0" applyNumberFormat="1" applyFont="1" applyBorder="1" applyProtection="1"/>
    <xf numFmtId="2" fontId="31" fillId="0" borderId="16" xfId="0" applyNumberFormat="1" applyFont="1" applyBorder="1" applyProtection="1"/>
    <xf numFmtId="168" fontId="31" fillId="0" borderId="16" xfId="0" applyNumberFormat="1" applyFont="1" applyBorder="1" applyProtection="1"/>
    <xf numFmtId="0" fontId="31" fillId="0" borderId="17" xfId="0" applyFont="1" applyBorder="1" applyProtection="1"/>
    <xf numFmtId="0" fontId="31" fillId="0" borderId="0" xfId="0" applyFont="1" applyBorder="1" applyProtection="1"/>
    <xf numFmtId="0" fontId="31" fillId="0" borderId="0" xfId="0" applyFont="1" applyProtection="1"/>
    <xf numFmtId="0" fontId="23" fillId="0" borderId="4" xfId="0" applyFont="1" applyBorder="1" applyProtection="1"/>
    <xf numFmtId="0" fontId="23" fillId="0" borderId="0" xfId="0" applyFont="1" applyBorder="1" applyProtection="1"/>
    <xf numFmtId="2" fontId="23" fillId="0" borderId="0" xfId="0" applyNumberFormat="1" applyFont="1" applyBorder="1" applyProtection="1"/>
    <xf numFmtId="2" fontId="23" fillId="0" borderId="0" xfId="0" applyNumberFormat="1" applyFont="1" applyBorder="1" applyAlignment="1" applyProtection="1">
      <alignment horizontal="right"/>
    </xf>
    <xf numFmtId="165" fontId="26" fillId="0" borderId="3" xfId="0" applyNumberFormat="1" applyFont="1" applyBorder="1" applyAlignment="1" applyProtection="1">
      <alignment vertical="center"/>
    </xf>
    <xf numFmtId="0" fontId="23" fillId="0" borderId="0" xfId="0" applyFont="1" applyBorder="1" applyAlignment="1" applyProtection="1">
      <alignment vertical="center"/>
    </xf>
    <xf numFmtId="165" fontId="26" fillId="0" borderId="14" xfId="0" applyNumberFormat="1" applyFont="1" applyBorder="1" applyAlignment="1" applyProtection="1">
      <alignment vertical="center"/>
    </xf>
    <xf numFmtId="0" fontId="32" fillId="0" borderId="15" xfId="0" applyFont="1" applyBorder="1" applyAlignment="1" applyProtection="1"/>
    <xf numFmtId="0" fontId="22" fillId="0" borderId="0" xfId="0" applyFont="1" applyBorder="1" applyProtection="1"/>
    <xf numFmtId="0" fontId="22" fillId="0" borderId="0" xfId="0" applyFont="1" applyProtection="1"/>
    <xf numFmtId="0" fontId="26" fillId="0" borderId="4" xfId="0" applyFont="1" applyBorder="1" applyAlignment="1" applyProtection="1">
      <alignment horizontal="left"/>
    </xf>
    <xf numFmtId="0" fontId="26" fillId="0" borderId="0" xfId="0" applyFont="1" applyBorder="1" applyAlignment="1" applyProtection="1">
      <alignment horizontal="left"/>
    </xf>
    <xf numFmtId="0" fontId="31" fillId="0" borderId="0" xfId="0" applyFont="1" applyBorder="1" applyAlignment="1" applyProtection="1">
      <alignment horizontal="center"/>
    </xf>
    <xf numFmtId="0" fontId="31" fillId="0" borderId="11" xfId="0" applyFont="1" applyBorder="1" applyAlignment="1" applyProtection="1">
      <alignment horizontal="center"/>
    </xf>
    <xf numFmtId="0" fontId="28" fillId="0" borderId="4" xfId="0" applyFont="1" applyBorder="1" applyProtection="1"/>
    <xf numFmtId="0" fontId="26" fillId="0" borderId="3" xfId="0" applyFont="1" applyBorder="1" applyAlignment="1" applyProtection="1">
      <alignment horizontal="center" vertical="center"/>
    </xf>
    <xf numFmtId="0" fontId="23" fillId="0" borderId="4" xfId="0" applyFont="1" applyBorder="1" applyAlignment="1" applyProtection="1"/>
    <xf numFmtId="0" fontId="23" fillId="0" borderId="0" xfId="0" applyFont="1" applyBorder="1" applyAlignment="1" applyProtection="1"/>
    <xf numFmtId="2" fontId="31" fillId="0" borderId="0" xfId="0" applyNumberFormat="1" applyFont="1" applyBorder="1" applyProtection="1"/>
    <xf numFmtId="2" fontId="31" fillId="0" borderId="0" xfId="0" applyNumberFormat="1" applyFont="1" applyBorder="1" applyAlignment="1" applyProtection="1">
      <alignment horizontal="right"/>
    </xf>
    <xf numFmtId="168" fontId="31" fillId="0" borderId="4" xfId="0" applyNumberFormat="1" applyFont="1" applyBorder="1" applyProtection="1"/>
    <xf numFmtId="168" fontId="31" fillId="0" borderId="0" xfId="0" applyNumberFormat="1" applyFont="1" applyBorder="1" applyProtection="1"/>
    <xf numFmtId="0" fontId="31" fillId="0" borderId="3" xfId="0" applyFont="1" applyBorder="1" applyProtection="1"/>
    <xf numFmtId="0" fontId="31" fillId="0" borderId="3" xfId="0" applyFont="1" applyBorder="1" applyAlignment="1" applyProtection="1">
      <alignment horizontal="center"/>
    </xf>
    <xf numFmtId="2" fontId="26" fillId="0" borderId="0" xfId="0" applyNumberFormat="1" applyFont="1" applyBorder="1" applyAlignment="1" applyProtection="1">
      <alignment horizontal="center"/>
    </xf>
    <xf numFmtId="2" fontId="26" fillId="0" borderId="0" xfId="0" applyNumberFormat="1" applyFont="1" applyBorder="1" applyAlignment="1" applyProtection="1">
      <alignment horizontal="right"/>
    </xf>
    <xf numFmtId="0" fontId="26" fillId="0" borderId="3" xfId="0" applyFont="1" applyBorder="1" applyAlignment="1" applyProtection="1">
      <alignment horizontal="center"/>
    </xf>
    <xf numFmtId="2" fontId="25" fillId="0" borderId="0" xfId="0" applyNumberFormat="1" applyFont="1" applyBorder="1" applyAlignment="1" applyProtection="1">
      <alignment horizontal="right" vertical="top"/>
    </xf>
    <xf numFmtId="168" fontId="25" fillId="0" borderId="4" xfId="0" applyNumberFormat="1" applyFont="1" applyBorder="1" applyAlignment="1" applyProtection="1">
      <alignment vertical="top"/>
    </xf>
    <xf numFmtId="2" fontId="25" fillId="0" borderId="0" xfId="0" applyNumberFormat="1" applyFont="1" applyBorder="1" applyAlignment="1" applyProtection="1">
      <alignment vertical="top"/>
    </xf>
    <xf numFmtId="168" fontId="25" fillId="0" borderId="0" xfId="0" applyNumberFormat="1" applyFont="1" applyBorder="1" applyAlignment="1" applyProtection="1">
      <alignment vertical="top"/>
    </xf>
    <xf numFmtId="165" fontId="31" fillId="0" borderId="3" xfId="0" applyNumberFormat="1" applyFont="1" applyBorder="1" applyAlignment="1" applyProtection="1">
      <alignment horizontal="center"/>
    </xf>
    <xf numFmtId="0" fontId="31" fillId="0" borderId="4" xfId="0" applyFont="1" applyBorder="1" applyProtection="1"/>
    <xf numFmtId="0" fontId="31" fillId="0" borderId="12" xfId="0" applyFont="1" applyBorder="1" applyProtection="1"/>
    <xf numFmtId="0" fontId="31" fillId="0" borderId="13" xfId="0" applyFont="1" applyBorder="1" applyAlignment="1" applyProtection="1">
      <alignment horizontal="center"/>
    </xf>
    <xf numFmtId="0" fontId="31" fillId="0" borderId="13" xfId="0" applyFont="1" applyBorder="1" applyProtection="1"/>
    <xf numFmtId="0" fontId="31" fillId="0" borderId="14" xfId="0" applyFont="1" applyBorder="1" applyProtection="1"/>
    <xf numFmtId="0" fontId="31" fillId="0" borderId="15" xfId="0" applyFont="1" applyBorder="1" applyProtection="1"/>
    <xf numFmtId="0" fontId="31" fillId="0" borderId="16" xfId="0" applyFont="1" applyBorder="1" applyProtection="1"/>
    <xf numFmtId="2" fontId="26" fillId="0" borderId="16" xfId="0" applyNumberFormat="1" applyFont="1" applyBorder="1" applyAlignment="1" applyProtection="1"/>
    <xf numFmtId="0" fontId="25" fillId="0" borderId="10" xfId="0" applyFont="1" applyBorder="1" applyAlignment="1" applyProtection="1"/>
    <xf numFmtId="0" fontId="28" fillId="0" borderId="10" xfId="0" applyFont="1" applyBorder="1" applyAlignment="1" applyProtection="1">
      <alignment vertical="center"/>
    </xf>
    <xf numFmtId="0" fontId="25" fillId="0" borderId="0" xfId="0" applyFont="1" applyBorder="1" applyAlignment="1" applyProtection="1"/>
    <xf numFmtId="0" fontId="23" fillId="0" borderId="0" xfId="0" applyFont="1" applyBorder="1" applyAlignment="1">
      <alignment horizontal="center"/>
    </xf>
    <xf numFmtId="0" fontId="23" fillId="0" borderId="0" xfId="0" applyFont="1" applyBorder="1" applyAlignment="1">
      <alignment horizontal="left"/>
    </xf>
    <xf numFmtId="0" fontId="37" fillId="0" borderId="0" xfId="0" applyFont="1" applyFill="1" applyBorder="1" applyAlignment="1" applyProtection="1"/>
    <xf numFmtId="0" fontId="31" fillId="0" borderId="0" xfId="0" applyFont="1"/>
    <xf numFmtId="0" fontId="38" fillId="0" borderId="0" xfId="0" applyFont="1" applyFill="1"/>
    <xf numFmtId="0" fontId="31" fillId="0" borderId="0" xfId="0" applyFont="1" applyBorder="1" applyAlignment="1">
      <alignment horizontal="center"/>
    </xf>
    <xf numFmtId="15" fontId="31" fillId="0" borderId="0" xfId="0" applyNumberFormat="1" applyFont="1" applyBorder="1" applyAlignment="1">
      <alignment horizontal="center"/>
    </xf>
    <xf numFmtId="0" fontId="31" fillId="0" borderId="0" xfId="0" applyFont="1" applyBorder="1" applyAlignment="1">
      <alignment horizontal="left"/>
    </xf>
    <xf numFmtId="2" fontId="31" fillId="0" borderId="0" xfId="0" applyNumberFormat="1" applyFont="1" applyBorder="1"/>
    <xf numFmtId="15" fontId="31" fillId="0" borderId="0" xfId="0" applyNumberFormat="1" applyFont="1" applyAlignment="1">
      <alignment horizontal="center"/>
    </xf>
    <xf numFmtId="0" fontId="31" fillId="0" borderId="0" xfId="0" applyFont="1" applyFill="1" applyBorder="1"/>
    <xf numFmtId="0" fontId="38" fillId="0" borderId="0" xfId="0" applyFont="1" applyFill="1" applyBorder="1"/>
    <xf numFmtId="0" fontId="16" fillId="0" borderId="24" xfId="0" applyFont="1" applyFill="1" applyBorder="1" applyAlignment="1">
      <alignment horizontal="center" vertical="center" wrapText="1"/>
    </xf>
    <xf numFmtId="0" fontId="16" fillId="0" borderId="25" xfId="0" applyFont="1" applyFill="1" applyBorder="1" applyAlignment="1">
      <alignment horizontal="center" vertical="center" wrapText="1"/>
    </xf>
    <xf numFmtId="15" fontId="16" fillId="0" borderId="22" xfId="0" applyNumberFormat="1" applyFont="1" applyFill="1" applyBorder="1" applyAlignment="1">
      <alignment horizontal="center" vertical="center" wrapText="1"/>
    </xf>
    <xf numFmtId="0" fontId="35" fillId="0" borderId="0" xfId="0" applyFont="1" applyFill="1" applyBorder="1" applyAlignment="1" applyProtection="1"/>
    <xf numFmtId="0" fontId="24" fillId="0" borderId="4" xfId="0" applyFont="1" applyBorder="1" applyAlignment="1" applyProtection="1">
      <alignment horizontal="right" vertical="center"/>
    </xf>
    <xf numFmtId="0" fontId="23" fillId="0" borderId="0" xfId="0" applyFont="1" applyBorder="1"/>
    <xf numFmtId="0" fontId="12" fillId="0" borderId="0" xfId="0" applyFont="1" applyBorder="1"/>
    <xf numFmtId="0" fontId="12" fillId="0" borderId="0" xfId="0" applyFont="1"/>
    <xf numFmtId="15" fontId="24" fillId="0" borderId="3" xfId="0" applyNumberFormat="1" applyFont="1" applyBorder="1" applyAlignment="1" applyProtection="1">
      <alignment vertical="center"/>
    </xf>
    <xf numFmtId="0" fontId="35" fillId="0" borderId="9" xfId="0" applyFont="1" applyFill="1" applyBorder="1" applyAlignment="1" applyProtection="1"/>
    <xf numFmtId="0" fontId="35" fillId="0" borderId="10" xfId="0" applyFont="1" applyFill="1" applyBorder="1" applyAlignment="1" applyProtection="1"/>
    <xf numFmtId="0" fontId="41" fillId="0" borderId="0" xfId="0" applyFont="1" applyFill="1" applyBorder="1" applyAlignment="1" applyProtection="1"/>
    <xf numFmtId="0" fontId="39" fillId="0" borderId="0" xfId="0" applyFont="1" applyBorder="1"/>
    <xf numFmtId="0" fontId="35" fillId="0" borderId="4" xfId="0" applyFont="1" applyFill="1" applyBorder="1" applyAlignment="1" applyProtection="1"/>
    <xf numFmtId="0" fontId="39" fillId="0" borderId="4" xfId="0" applyFont="1" applyBorder="1"/>
    <xf numFmtId="0" fontId="39" fillId="0" borderId="0" xfId="0" applyFont="1" applyBorder="1" applyAlignment="1" applyProtection="1"/>
    <xf numFmtId="0" fontId="25" fillId="0" borderId="4" xfId="0" applyFont="1" applyBorder="1" applyAlignment="1" applyProtection="1"/>
    <xf numFmtId="0" fontId="25" fillId="0" borderId="3" xfId="0" applyFont="1" applyBorder="1" applyAlignment="1" applyProtection="1"/>
    <xf numFmtId="0" fontId="42" fillId="0" borderId="0" xfId="0" applyFont="1" applyBorder="1" applyAlignment="1" applyProtection="1"/>
    <xf numFmtId="0" fontId="41" fillId="0" borderId="1" xfId="0" applyFont="1" applyFill="1" applyBorder="1" applyAlignment="1">
      <alignment horizontal="center" vertical="center" wrapText="1"/>
    </xf>
    <xf numFmtId="2" fontId="41" fillId="0" borderId="1" xfId="0" applyNumberFormat="1" applyFont="1" applyFill="1" applyBorder="1" applyAlignment="1">
      <alignment horizontal="center" vertical="center" wrapText="1"/>
    </xf>
    <xf numFmtId="2" fontId="41" fillId="0" borderId="15" xfId="0" applyNumberFormat="1" applyFont="1" applyFill="1" applyBorder="1" applyAlignment="1">
      <alignment horizontal="center" vertical="center" wrapText="1"/>
    </xf>
    <xf numFmtId="0" fontId="43" fillId="0" borderId="0" xfId="0" applyFont="1" applyFill="1" applyBorder="1"/>
    <xf numFmtId="0" fontId="39" fillId="0" borderId="0" xfId="0" applyFont="1" applyBorder="1" applyAlignment="1">
      <alignment horizontal="center"/>
    </xf>
    <xf numFmtId="14" fontId="39" fillId="0" borderId="0" xfId="0" applyNumberFormat="1" applyFont="1" applyBorder="1" applyAlignment="1">
      <alignment horizontal="center"/>
    </xf>
    <xf numFmtId="0" fontId="39" fillId="0" borderId="0" xfId="0" applyFont="1" applyBorder="1" applyAlignment="1">
      <alignment horizontal="left"/>
    </xf>
    <xf numFmtId="0" fontId="39" fillId="0" borderId="0" xfId="0" applyFont="1"/>
    <xf numFmtId="14" fontId="39" fillId="0" borderId="0" xfId="0" applyNumberFormat="1" applyFont="1"/>
    <xf numFmtId="2" fontId="42" fillId="0" borderId="0" xfId="0" applyNumberFormat="1" applyFont="1" applyBorder="1"/>
    <xf numFmtId="0" fontId="42" fillId="0" borderId="0" xfId="0" applyFont="1" applyBorder="1" applyAlignment="1">
      <alignment horizontal="right"/>
    </xf>
    <xf numFmtId="2" fontId="39" fillId="0" borderId="0" xfId="0" applyNumberFormat="1" applyFont="1" applyBorder="1"/>
    <xf numFmtId="0" fontId="0" fillId="0" borderId="0" xfId="0" applyFont="1"/>
    <xf numFmtId="0" fontId="4" fillId="0" borderId="0" xfId="0" applyFont="1" applyAlignment="1">
      <alignment horizontal="right"/>
    </xf>
    <xf numFmtId="0" fontId="4" fillId="0" borderId="0" xfId="0" applyFont="1" applyBorder="1"/>
    <xf numFmtId="0" fontId="1" fillId="0" borderId="0" xfId="0" applyFont="1" applyAlignment="1">
      <alignment horizontal="right"/>
    </xf>
    <xf numFmtId="0" fontId="1" fillId="0" borderId="0" xfId="0" applyFont="1" applyBorder="1"/>
    <xf numFmtId="2" fontId="26" fillId="0" borderId="0" xfId="0" applyNumberFormat="1" applyFont="1" applyBorder="1"/>
    <xf numFmtId="2" fontId="26" fillId="0" borderId="0" xfId="0" applyNumberFormat="1" applyFont="1" applyBorder="1" applyAlignment="1">
      <alignment horizontal="right"/>
    </xf>
    <xf numFmtId="0" fontId="26" fillId="0" borderId="0" xfId="0" applyFont="1" applyBorder="1" applyAlignment="1">
      <alignment horizontal="right"/>
    </xf>
    <xf numFmtId="0" fontId="11" fillId="0" borderId="0" xfId="0" applyFont="1" applyFill="1" applyBorder="1" applyAlignment="1" applyProtection="1"/>
    <xf numFmtId="0" fontId="24" fillId="0" borderId="4" xfId="0" applyFont="1" applyBorder="1" applyAlignment="1" applyProtection="1">
      <alignment horizontal="center" vertical="center"/>
    </xf>
    <xf numFmtId="0" fontId="8" fillId="7" borderId="1" xfId="0" applyFont="1" applyFill="1" applyBorder="1" applyAlignment="1">
      <alignment horizontal="center"/>
    </xf>
    <xf numFmtId="0" fontId="8" fillId="7" borderId="1" xfId="0" applyFont="1" applyFill="1" applyBorder="1"/>
    <xf numFmtId="0" fontId="8" fillId="7" borderId="1" xfId="0" applyNumberFormat="1" applyFont="1" applyFill="1" applyBorder="1" applyAlignment="1">
      <alignment horizontal="center"/>
    </xf>
    <xf numFmtId="169" fontId="8" fillId="7" borderId="1" xfId="0" applyNumberFormat="1" applyFont="1" applyFill="1" applyBorder="1" applyProtection="1"/>
    <xf numFmtId="169" fontId="8" fillId="7" borderId="1" xfId="0" applyNumberFormat="1" applyFont="1" applyFill="1" applyBorder="1" applyAlignment="1">
      <alignment horizontal="right"/>
    </xf>
    <xf numFmtId="0" fontId="8" fillId="7" borderId="1" xfId="0" applyNumberFormat="1" applyFont="1" applyFill="1" applyBorder="1" applyProtection="1"/>
    <xf numFmtId="0" fontId="8" fillId="7" borderId="15" xfId="0" applyNumberFormat="1" applyFont="1" applyFill="1" applyBorder="1" applyProtection="1"/>
    <xf numFmtId="0" fontId="1" fillId="7" borderId="1" xfId="0" applyFont="1" applyFill="1" applyBorder="1" applyAlignment="1">
      <alignment horizontal="center"/>
    </xf>
    <xf numFmtId="0" fontId="1" fillId="7" borderId="1" xfId="0" applyFont="1" applyFill="1" applyBorder="1"/>
    <xf numFmtId="0" fontId="1" fillId="7" borderId="1" xfId="0" applyNumberFormat="1" applyFont="1" applyFill="1" applyBorder="1" applyAlignment="1">
      <alignment horizontal="center"/>
    </xf>
    <xf numFmtId="169" fontId="1" fillId="7" borderId="1" xfId="0" applyNumberFormat="1" applyFont="1" applyFill="1" applyBorder="1" applyProtection="1"/>
    <xf numFmtId="0" fontId="1" fillId="7" borderId="1" xfId="0" applyNumberFormat="1" applyFont="1" applyFill="1" applyBorder="1" applyProtection="1"/>
    <xf numFmtId="0" fontId="8" fillId="8" borderId="1" xfId="0" applyFont="1" applyFill="1" applyBorder="1" applyAlignment="1">
      <alignment horizontal="center"/>
    </xf>
    <xf numFmtId="0" fontId="8" fillId="8" borderId="1" xfId="0" applyFont="1" applyFill="1" applyBorder="1" applyProtection="1"/>
    <xf numFmtId="0" fontId="8" fillId="8" borderId="1" xfId="0" applyNumberFormat="1" applyFont="1" applyFill="1" applyBorder="1" applyAlignment="1">
      <alignment horizontal="center"/>
    </xf>
    <xf numFmtId="0" fontId="8" fillId="8" borderId="1" xfId="0" applyFont="1" applyFill="1" applyBorder="1"/>
    <xf numFmtId="169" fontId="8" fillId="8" borderId="1" xfId="0" applyNumberFormat="1" applyFont="1" applyFill="1" applyBorder="1" applyAlignment="1">
      <alignment horizontal="right"/>
    </xf>
    <xf numFmtId="0" fontId="8" fillId="8" borderId="1" xfId="0" applyNumberFormat="1" applyFont="1" applyFill="1" applyBorder="1"/>
    <xf numFmtId="0" fontId="1" fillId="8" borderId="1" xfId="0" applyFont="1" applyFill="1" applyBorder="1"/>
    <xf numFmtId="169" fontId="8" fillId="8" borderId="1" xfId="0" applyNumberFormat="1" applyFont="1" applyFill="1" applyBorder="1"/>
    <xf numFmtId="0" fontId="26" fillId="0" borderId="0" xfId="0" applyFont="1" applyBorder="1" applyAlignment="1">
      <alignment horizontal="left"/>
    </xf>
    <xf numFmtId="0" fontId="16" fillId="0" borderId="18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/>
    </xf>
    <xf numFmtId="0" fontId="31" fillId="6" borderId="1" xfId="0" applyFont="1" applyFill="1" applyBorder="1"/>
    <xf numFmtId="0" fontId="31" fillId="0" borderId="0" xfId="0" applyFont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5" fontId="0" fillId="0" borderId="0" xfId="0" applyNumberFormat="1"/>
    <xf numFmtId="0" fontId="0" fillId="0" borderId="0" xfId="0" applyAlignment="1">
      <alignment horizontal="center"/>
    </xf>
    <xf numFmtId="2" fontId="1" fillId="0" borderId="0" xfId="0" applyNumberFormat="1" applyFont="1"/>
    <xf numFmtId="2" fontId="0" fillId="0" borderId="0" xfId="0" applyNumberFormat="1"/>
    <xf numFmtId="0" fontId="1" fillId="9" borderId="1" xfId="0" applyFont="1" applyFill="1" applyBorder="1"/>
    <xf numFmtId="0" fontId="1" fillId="9" borderId="1" xfId="0" applyNumberFormat="1" applyFont="1" applyFill="1" applyBorder="1" applyAlignment="1">
      <alignment horizontal="center"/>
    </xf>
    <xf numFmtId="169" fontId="1" fillId="9" borderId="1" xfId="0" applyNumberFormat="1" applyFont="1" applyFill="1" applyBorder="1"/>
    <xf numFmtId="169" fontId="1" fillId="9" borderId="1" xfId="0" applyNumberFormat="1" applyFont="1" applyFill="1" applyBorder="1" applyAlignment="1">
      <alignment horizontal="right"/>
    </xf>
    <xf numFmtId="0" fontId="1" fillId="9" borderId="1" xfId="0" applyNumberFormat="1" applyFont="1" applyFill="1" applyBorder="1"/>
    <xf numFmtId="0" fontId="26" fillId="0" borderId="0" xfId="0" applyFont="1"/>
    <xf numFmtId="0" fontId="26" fillId="0" borderId="0" xfId="0" applyFont="1" applyAlignment="1">
      <alignment horizontal="right"/>
    </xf>
    <xf numFmtId="2" fontId="1" fillId="6" borderId="1" xfId="0" applyNumberFormat="1" applyFont="1" applyFill="1" applyBorder="1"/>
    <xf numFmtId="0" fontId="4" fillId="0" borderId="0" xfId="0" applyFont="1" applyBorder="1" applyAlignment="1">
      <alignment horizontal="right"/>
    </xf>
    <xf numFmtId="15" fontId="26" fillId="0" borderId="0" xfId="0" applyNumberFormat="1" applyFont="1" applyAlignment="1">
      <alignment horizontal="right"/>
    </xf>
    <xf numFmtId="0" fontId="0" fillId="0" borderId="0" xfId="0" applyFont="1" applyAlignment="1">
      <alignment horizontal="center"/>
    </xf>
    <xf numFmtId="2" fontId="16" fillId="0" borderId="22" xfId="0" applyNumberFormat="1" applyFont="1" applyFill="1" applyBorder="1" applyAlignment="1">
      <alignment horizontal="center" vertical="center" wrapText="1"/>
    </xf>
    <xf numFmtId="2" fontId="14" fillId="0" borderId="0" xfId="0" applyNumberFormat="1" applyFont="1" applyBorder="1"/>
    <xf numFmtId="0" fontId="2" fillId="0" borderId="0" xfId="0" applyFont="1" applyBorder="1" applyAlignment="1" applyProtection="1">
      <alignment horizontal="center"/>
    </xf>
    <xf numFmtId="0" fontId="23" fillId="0" borderId="16" xfId="0" applyFont="1" applyBorder="1" applyAlignment="1" applyProtection="1">
      <alignment horizontal="right"/>
    </xf>
    <xf numFmtId="0" fontId="24" fillId="0" borderId="12" xfId="0" applyFont="1" applyBorder="1" applyAlignment="1" applyProtection="1">
      <alignment horizontal="center" vertical="center"/>
    </xf>
    <xf numFmtId="9" fontId="1" fillId="6" borderId="1" xfId="0" applyNumberFormat="1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Border="1" applyProtection="1"/>
    <xf numFmtId="0" fontId="6" fillId="0" borderId="0" xfId="0" applyFont="1" applyBorder="1" applyAlignment="1" applyProtection="1"/>
    <xf numFmtId="0" fontId="2" fillId="0" borderId="0" xfId="0" applyFont="1" applyProtection="1"/>
    <xf numFmtId="0" fontId="2" fillId="0" borderId="0" xfId="0" applyFont="1" applyAlignment="1" applyProtection="1">
      <alignment horizontal="center"/>
    </xf>
    <xf numFmtId="0" fontId="2" fillId="0" borderId="0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right" vertical="center"/>
    </xf>
    <xf numFmtId="166" fontId="5" fillId="0" borderId="3" xfId="0" applyNumberFormat="1" applyFont="1" applyBorder="1" applyAlignment="1" applyProtection="1">
      <alignment horizontal="right"/>
    </xf>
    <xf numFmtId="0" fontId="7" fillId="0" borderId="3" xfId="0" applyFont="1" applyBorder="1" applyProtection="1"/>
    <xf numFmtId="167" fontId="5" fillId="0" borderId="3" xfId="0" applyNumberFormat="1" applyFont="1" applyBorder="1" applyAlignment="1" applyProtection="1">
      <alignment horizontal="right" vertical="center"/>
    </xf>
    <xf numFmtId="0" fontId="5" fillId="0" borderId="3" xfId="0" applyFont="1" applyBorder="1" applyAlignment="1" applyProtection="1">
      <alignment horizontal="right"/>
    </xf>
    <xf numFmtId="0" fontId="5" fillId="0" borderId="3" xfId="0" applyFont="1" applyBorder="1" applyProtection="1"/>
    <xf numFmtId="0" fontId="7" fillId="0" borderId="10" xfId="0" applyFont="1" applyBorder="1" applyProtection="1"/>
    <xf numFmtId="0" fontId="7" fillId="0" borderId="11" xfId="0" applyFont="1" applyBorder="1" applyProtection="1"/>
    <xf numFmtId="0" fontId="7" fillId="0" borderId="9" xfId="0" applyFont="1" applyBorder="1" applyProtection="1"/>
    <xf numFmtId="0" fontId="9" fillId="0" borderId="10" xfId="0" applyFont="1" applyBorder="1" applyProtection="1"/>
    <xf numFmtId="0" fontId="9" fillId="0" borderId="10" xfId="0" applyFont="1" applyBorder="1" applyAlignment="1" applyProtection="1">
      <alignment horizontal="center"/>
    </xf>
    <xf numFmtId="0" fontId="7" fillId="0" borderId="10" xfId="0" applyFont="1" applyBorder="1" applyAlignment="1" applyProtection="1">
      <alignment horizontal="center"/>
    </xf>
    <xf numFmtId="0" fontId="7" fillId="0" borderId="4" xfId="0" applyFont="1" applyBorder="1" applyProtection="1"/>
    <xf numFmtId="0" fontId="10" fillId="0" borderId="4" xfId="0" applyFont="1" applyBorder="1" applyAlignment="1" applyProtection="1">
      <alignment horizontal="left"/>
    </xf>
    <xf numFmtId="165" fontId="12" fillId="0" borderId="3" xfId="0" applyNumberFormat="1" applyFont="1" applyBorder="1" applyAlignment="1" applyProtection="1">
      <alignment horizontal="right"/>
    </xf>
    <xf numFmtId="0" fontId="12" fillId="0" borderId="2" xfId="0" applyFont="1" applyFill="1" applyBorder="1" applyAlignment="1" applyProtection="1">
      <alignment horizontal="center"/>
    </xf>
    <xf numFmtId="164" fontId="12" fillId="0" borderId="2" xfId="0" applyNumberFormat="1" applyFont="1" applyBorder="1" applyAlignment="1" applyProtection="1">
      <alignment horizontal="right"/>
    </xf>
    <xf numFmtId="0" fontId="12" fillId="0" borderId="2" xfId="0" applyFont="1" applyBorder="1" applyAlignment="1" applyProtection="1">
      <alignment horizontal="right"/>
    </xf>
    <xf numFmtId="168" fontId="12" fillId="0" borderId="2" xfId="0" applyNumberFormat="1" applyFont="1" applyBorder="1" applyAlignment="1" applyProtection="1">
      <alignment horizontal="right"/>
    </xf>
    <xf numFmtId="0" fontId="12" fillId="0" borderId="2" xfId="0" applyFont="1" applyBorder="1" applyAlignment="1" applyProtection="1">
      <alignment horizontal="center"/>
    </xf>
    <xf numFmtId="1" fontId="12" fillId="0" borderId="2" xfId="0" applyNumberFormat="1" applyFont="1" applyBorder="1" applyAlignment="1" applyProtection="1">
      <alignment horizontal="center"/>
    </xf>
    <xf numFmtId="0" fontId="20" fillId="0" borderId="0" xfId="0" applyFont="1" applyBorder="1" applyProtection="1"/>
    <xf numFmtId="0" fontId="20" fillId="0" borderId="0" xfId="0" applyFont="1" applyProtection="1"/>
    <xf numFmtId="165" fontId="20" fillId="0" borderId="3" xfId="0" applyNumberFormat="1" applyFont="1" applyBorder="1" applyAlignment="1" applyProtection="1">
      <alignment horizontal="right"/>
    </xf>
    <xf numFmtId="0" fontId="20" fillId="0" borderId="0" xfId="0" applyFont="1" applyBorder="1" applyAlignment="1" applyProtection="1"/>
    <xf numFmtId="0" fontId="20" fillId="0" borderId="0" xfId="0" applyFont="1" applyAlignment="1" applyProtection="1"/>
    <xf numFmtId="2" fontId="7" fillId="0" borderId="10" xfId="0" applyNumberFormat="1" applyFont="1" applyBorder="1" applyProtection="1"/>
    <xf numFmtId="2" fontId="7" fillId="0" borderId="0" xfId="0" applyNumberFormat="1" applyFont="1" applyBorder="1" applyProtection="1"/>
    <xf numFmtId="2" fontId="12" fillId="0" borderId="2" xfId="0" applyNumberFormat="1" applyFont="1" applyBorder="1" applyAlignment="1" applyProtection="1">
      <alignment horizontal="right"/>
    </xf>
    <xf numFmtId="2" fontId="2" fillId="0" borderId="0" xfId="0" applyNumberFormat="1" applyFont="1" applyBorder="1" applyProtection="1"/>
    <xf numFmtId="2" fontId="2" fillId="0" borderId="0" xfId="0" applyNumberFormat="1" applyFont="1" applyProtection="1"/>
    <xf numFmtId="168" fontId="7" fillId="0" borderId="10" xfId="0" applyNumberFormat="1" applyFont="1" applyBorder="1" applyProtection="1"/>
    <xf numFmtId="168" fontId="7" fillId="0" borderId="0" xfId="0" applyNumberFormat="1" applyFont="1" applyBorder="1" applyProtection="1"/>
    <xf numFmtId="168" fontId="2" fillId="0" borderId="0" xfId="0" applyNumberFormat="1" applyFont="1" applyProtection="1"/>
    <xf numFmtId="2" fontId="6" fillId="0" borderId="0" xfId="0" applyNumberFormat="1" applyFont="1" applyBorder="1" applyAlignment="1" applyProtection="1">
      <alignment horizontal="right"/>
    </xf>
    <xf numFmtId="2" fontId="7" fillId="0" borderId="11" xfId="0" applyNumberFormat="1" applyFont="1" applyBorder="1" applyAlignment="1" applyProtection="1">
      <alignment horizontal="right"/>
    </xf>
    <xf numFmtId="2" fontId="7" fillId="0" borderId="3" xfId="0" applyNumberFormat="1" applyFont="1" applyBorder="1" applyAlignment="1" applyProtection="1">
      <alignment horizontal="right"/>
    </xf>
    <xf numFmtId="2" fontId="2" fillId="0" borderId="0" xfId="0" applyNumberFormat="1" applyFont="1" applyAlignment="1" applyProtection="1">
      <alignment horizontal="right"/>
    </xf>
    <xf numFmtId="2" fontId="0" fillId="0" borderId="10" xfId="0" applyNumberFormat="1" applyFont="1" applyBorder="1" applyProtection="1"/>
    <xf numFmtId="2" fontId="0" fillId="0" borderId="0" xfId="0" applyNumberFormat="1" applyFont="1" applyBorder="1" applyProtection="1"/>
    <xf numFmtId="168" fontId="0" fillId="0" borderId="10" xfId="0" applyNumberFormat="1" applyFont="1" applyBorder="1" applyProtection="1"/>
    <xf numFmtId="168" fontId="0" fillId="0" borderId="0" xfId="0" applyNumberFormat="1" applyFont="1" applyBorder="1" applyProtection="1"/>
    <xf numFmtId="2" fontId="1" fillId="0" borderId="0" xfId="0" applyNumberFormat="1" applyFont="1" applyBorder="1" applyProtection="1"/>
    <xf numFmtId="2" fontId="12" fillId="0" borderId="4" xfId="0" applyNumberFormat="1" applyFont="1" applyBorder="1" applyAlignment="1" applyProtection="1">
      <alignment horizontal="right"/>
    </xf>
    <xf numFmtId="0" fontId="26" fillId="0" borderId="0" xfId="0" applyFont="1" applyBorder="1" applyAlignment="1" applyProtection="1">
      <alignment horizontal="center"/>
    </xf>
    <xf numFmtId="0" fontId="26" fillId="0" borderId="0" xfId="0" applyFont="1" applyAlignment="1" applyProtection="1">
      <alignment horizontal="center"/>
    </xf>
    <xf numFmtId="168" fontId="26" fillId="0" borderId="1" xfId="0" applyNumberFormat="1" applyFont="1" applyBorder="1" applyAlignment="1" applyProtection="1">
      <alignment horizontal="center"/>
    </xf>
    <xf numFmtId="2" fontId="26" fillId="0" borderId="1" xfId="0" applyNumberFormat="1" applyFont="1" applyBorder="1" applyAlignment="1" applyProtection="1">
      <alignment horizontal="center"/>
    </xf>
    <xf numFmtId="0" fontId="23" fillId="0" borderId="2" xfId="0" applyFont="1" applyFill="1" applyBorder="1" applyAlignment="1" applyProtection="1">
      <alignment horizontal="center"/>
    </xf>
    <xf numFmtId="1" fontId="23" fillId="0" borderId="2" xfId="0" applyNumberFormat="1" applyFont="1" applyBorder="1" applyAlignment="1" applyProtection="1">
      <alignment horizontal="center"/>
    </xf>
    <xf numFmtId="164" fontId="23" fillId="0" borderId="2" xfId="0" applyNumberFormat="1" applyFont="1" applyBorder="1" applyAlignment="1" applyProtection="1">
      <alignment horizontal="right"/>
    </xf>
    <xf numFmtId="1" fontId="23" fillId="0" borderId="2" xfId="0" applyNumberFormat="1" applyFont="1" applyBorder="1" applyAlignment="1" applyProtection="1">
      <alignment horizontal="right"/>
    </xf>
    <xf numFmtId="2" fontId="23" fillId="0" borderId="2" xfId="0" applyNumberFormat="1" applyFont="1" applyBorder="1" applyAlignment="1" applyProtection="1">
      <alignment horizontal="right"/>
    </xf>
    <xf numFmtId="168" fontId="23" fillId="0" borderId="2" xfId="0" applyNumberFormat="1" applyFont="1" applyBorder="1" applyAlignment="1" applyProtection="1">
      <alignment horizontal="right"/>
    </xf>
    <xf numFmtId="2" fontId="23" fillId="0" borderId="9" xfId="0" applyNumberFormat="1" applyFont="1" applyBorder="1" applyAlignment="1" applyProtection="1">
      <alignment horizontal="right"/>
    </xf>
    <xf numFmtId="2" fontId="23" fillId="0" borderId="4" xfId="0" applyNumberFormat="1" applyFont="1" applyBorder="1" applyAlignment="1" applyProtection="1">
      <alignment horizontal="right"/>
    </xf>
    <xf numFmtId="0" fontId="28" fillId="0" borderId="0" xfId="0" applyFont="1" applyBorder="1" applyAlignment="1" applyProtection="1">
      <alignment horizontal="center"/>
    </xf>
    <xf numFmtId="0" fontId="28" fillId="0" borderId="0" xfId="0" applyFont="1" applyBorder="1" applyProtection="1"/>
    <xf numFmtId="2" fontId="28" fillId="0" borderId="0" xfId="0" applyNumberFormat="1" applyFont="1" applyBorder="1" applyProtection="1"/>
    <xf numFmtId="168" fontId="29" fillId="0" borderId="0" xfId="0" applyNumberFormat="1" applyFont="1" applyBorder="1" applyProtection="1"/>
    <xf numFmtId="2" fontId="29" fillId="0" borderId="0" xfId="0" applyNumberFormat="1" applyFont="1" applyBorder="1" applyProtection="1"/>
    <xf numFmtId="0" fontId="23" fillId="0" borderId="16" xfId="0" applyFont="1" applyBorder="1" applyAlignment="1" applyProtection="1">
      <alignment horizontal="right"/>
    </xf>
    <xf numFmtId="2" fontId="23" fillId="0" borderId="16" xfId="0" applyNumberFormat="1" applyFont="1" applyBorder="1" applyProtection="1"/>
    <xf numFmtId="0" fontId="23" fillId="0" borderId="16" xfId="0" applyFont="1" applyBorder="1" applyProtection="1"/>
    <xf numFmtId="2" fontId="23" fillId="0" borderId="16" xfId="0" applyNumberFormat="1" applyFont="1" applyBorder="1" applyAlignment="1" applyProtection="1">
      <alignment horizontal="right"/>
    </xf>
    <xf numFmtId="168" fontId="23" fillId="0" borderId="16" xfId="0" applyNumberFormat="1" applyFont="1" applyBorder="1" applyProtection="1"/>
    <xf numFmtId="2" fontId="31" fillId="0" borderId="16" xfId="0" applyNumberFormat="1" applyFont="1" applyBorder="1" applyProtection="1"/>
    <xf numFmtId="168" fontId="31" fillId="0" borderId="16" xfId="0" applyNumberFormat="1" applyFont="1" applyBorder="1" applyProtection="1"/>
    <xf numFmtId="0" fontId="31" fillId="0" borderId="17" xfId="0" applyFont="1" applyBorder="1" applyProtection="1"/>
    <xf numFmtId="0" fontId="31" fillId="0" borderId="0" xfId="0" applyFont="1" applyBorder="1" applyProtection="1"/>
    <xf numFmtId="0" fontId="31" fillId="0" borderId="0" xfId="0" applyFont="1" applyProtection="1"/>
    <xf numFmtId="0" fontId="23" fillId="0" borderId="4" xfId="0" applyFont="1" applyBorder="1" applyProtection="1"/>
    <xf numFmtId="165" fontId="26" fillId="0" borderId="3" xfId="0" applyNumberFormat="1" applyFont="1" applyBorder="1" applyAlignment="1" applyProtection="1">
      <alignment vertical="center"/>
    </xf>
    <xf numFmtId="0" fontId="23" fillId="0" borderId="0" xfId="0" applyFont="1" applyBorder="1" applyAlignment="1" applyProtection="1">
      <alignment vertical="center"/>
    </xf>
    <xf numFmtId="165" fontId="26" fillId="0" borderId="14" xfId="0" applyNumberFormat="1" applyFont="1" applyBorder="1" applyAlignment="1" applyProtection="1">
      <alignment vertical="center"/>
    </xf>
    <xf numFmtId="0" fontId="32" fillId="0" borderId="15" xfId="0" applyFont="1" applyBorder="1" applyAlignment="1" applyProtection="1"/>
    <xf numFmtId="0" fontId="22" fillId="0" borderId="0" xfId="0" applyFont="1" applyBorder="1" applyProtection="1"/>
    <xf numFmtId="0" fontId="22" fillId="0" borderId="0" xfId="0" applyFont="1" applyProtection="1"/>
    <xf numFmtId="0" fontId="26" fillId="0" borderId="4" xfId="0" applyFont="1" applyBorder="1" applyAlignment="1" applyProtection="1">
      <alignment horizontal="left"/>
    </xf>
    <xf numFmtId="0" fontId="26" fillId="0" borderId="0" xfId="0" applyFont="1" applyBorder="1" applyAlignment="1" applyProtection="1">
      <alignment horizontal="left"/>
    </xf>
    <xf numFmtId="0" fontId="31" fillId="0" borderId="0" xfId="0" applyFont="1" applyBorder="1" applyAlignment="1" applyProtection="1">
      <alignment horizontal="center"/>
    </xf>
    <xf numFmtId="0" fontId="31" fillId="0" borderId="11" xfId="0" applyFont="1" applyBorder="1" applyAlignment="1" applyProtection="1">
      <alignment horizontal="center"/>
    </xf>
    <xf numFmtId="0" fontId="28" fillId="0" borderId="4" xfId="0" applyFont="1" applyBorder="1" applyProtection="1"/>
    <xf numFmtId="0" fontId="26" fillId="0" borderId="3" xfId="0" applyFont="1" applyBorder="1" applyAlignment="1" applyProtection="1">
      <alignment horizontal="center" vertical="center"/>
    </xf>
    <xf numFmtId="0" fontId="23" fillId="0" borderId="4" xfId="0" applyFont="1" applyBorder="1" applyAlignment="1" applyProtection="1"/>
    <xf numFmtId="0" fontId="23" fillId="0" borderId="0" xfId="0" applyFont="1" applyBorder="1" applyAlignment="1" applyProtection="1"/>
    <xf numFmtId="2" fontId="31" fillId="0" borderId="0" xfId="0" applyNumberFormat="1" applyFont="1" applyBorder="1" applyProtection="1"/>
    <xf numFmtId="2" fontId="31" fillId="0" borderId="0" xfId="0" applyNumberFormat="1" applyFont="1" applyBorder="1" applyAlignment="1" applyProtection="1">
      <alignment horizontal="right"/>
    </xf>
    <xf numFmtId="168" fontId="31" fillId="0" borderId="4" xfId="0" applyNumberFormat="1" applyFont="1" applyBorder="1" applyProtection="1"/>
    <xf numFmtId="168" fontId="31" fillId="0" borderId="0" xfId="0" applyNumberFormat="1" applyFont="1" applyBorder="1" applyProtection="1"/>
    <xf numFmtId="0" fontId="31" fillId="0" borderId="3" xfId="0" applyFont="1" applyBorder="1" applyProtection="1"/>
    <xf numFmtId="0" fontId="31" fillId="0" borderId="3" xfId="0" applyFont="1" applyBorder="1" applyAlignment="1" applyProtection="1">
      <alignment horizontal="center"/>
    </xf>
    <xf numFmtId="2" fontId="26" fillId="0" borderId="0" xfId="0" applyNumberFormat="1" applyFont="1" applyBorder="1" applyAlignment="1" applyProtection="1">
      <alignment horizontal="center"/>
    </xf>
    <xf numFmtId="2" fontId="26" fillId="0" borderId="0" xfId="0" applyNumberFormat="1" applyFont="1" applyBorder="1" applyAlignment="1" applyProtection="1">
      <alignment horizontal="right"/>
    </xf>
    <xf numFmtId="0" fontId="26" fillId="0" borderId="3" xfId="0" applyFont="1" applyBorder="1" applyAlignment="1" applyProtection="1">
      <alignment horizontal="center"/>
    </xf>
    <xf numFmtId="2" fontId="25" fillId="0" borderId="0" xfId="0" applyNumberFormat="1" applyFont="1" applyBorder="1" applyAlignment="1" applyProtection="1">
      <alignment horizontal="right" vertical="top"/>
    </xf>
    <xf numFmtId="168" fontId="25" fillId="0" borderId="4" xfId="0" applyNumberFormat="1" applyFont="1" applyBorder="1" applyAlignment="1" applyProtection="1">
      <alignment vertical="top"/>
    </xf>
    <xf numFmtId="2" fontId="25" fillId="0" borderId="0" xfId="0" applyNumberFormat="1" applyFont="1" applyBorder="1" applyAlignment="1" applyProtection="1">
      <alignment vertical="top"/>
    </xf>
    <xf numFmtId="168" fontId="25" fillId="0" borderId="0" xfId="0" applyNumberFormat="1" applyFont="1" applyBorder="1" applyAlignment="1" applyProtection="1">
      <alignment vertical="top"/>
    </xf>
    <xf numFmtId="165" fontId="31" fillId="0" borderId="3" xfId="0" applyNumberFormat="1" applyFont="1" applyBorder="1" applyAlignment="1" applyProtection="1">
      <alignment horizontal="center"/>
    </xf>
    <xf numFmtId="0" fontId="31" fillId="0" borderId="4" xfId="0" applyFont="1" applyBorder="1" applyProtection="1"/>
    <xf numFmtId="0" fontId="31" fillId="0" borderId="12" xfId="0" applyFont="1" applyBorder="1" applyProtection="1"/>
    <xf numFmtId="0" fontId="31" fillId="0" borderId="13" xfId="0" applyFont="1" applyBorder="1" applyAlignment="1" applyProtection="1">
      <alignment horizontal="center"/>
    </xf>
    <xf numFmtId="0" fontId="31" fillId="0" borderId="13" xfId="0" applyFont="1" applyBorder="1" applyProtection="1"/>
    <xf numFmtId="0" fontId="31" fillId="0" borderId="14" xfId="0" applyFont="1" applyBorder="1" applyProtection="1"/>
    <xf numFmtId="0" fontId="31" fillId="0" borderId="15" xfId="0" applyFont="1" applyBorder="1" applyProtection="1"/>
    <xf numFmtId="0" fontId="31" fillId="0" borderId="16" xfId="0" applyFont="1" applyBorder="1" applyProtection="1"/>
    <xf numFmtId="2" fontId="26" fillId="0" borderId="16" xfId="0" applyNumberFormat="1" applyFont="1" applyBorder="1" applyAlignment="1" applyProtection="1"/>
    <xf numFmtId="0" fontId="25" fillId="0" borderId="10" xfId="0" applyFont="1" applyBorder="1" applyAlignment="1" applyProtection="1"/>
    <xf numFmtId="0" fontId="28" fillId="0" borderId="10" xfId="0" applyFont="1" applyBorder="1" applyAlignment="1" applyProtection="1">
      <alignment vertical="center"/>
    </xf>
    <xf numFmtId="2" fontId="31" fillId="0" borderId="0" xfId="0" applyNumberFormat="1" applyFont="1"/>
    <xf numFmtId="2" fontId="31" fillId="2" borderId="1" xfId="0" applyNumberFormat="1" applyFont="1" applyFill="1" applyBorder="1"/>
    <xf numFmtId="0" fontId="24" fillId="0" borderId="32" xfId="0" applyFont="1" applyBorder="1" applyAlignment="1" applyProtection="1">
      <alignment horizontal="center" vertical="center"/>
    </xf>
    <xf numFmtId="2" fontId="23" fillId="0" borderId="33" xfId="0" applyNumberFormat="1" applyFont="1" applyBorder="1" applyAlignment="1" applyProtection="1">
      <alignment horizontal="right"/>
    </xf>
    <xf numFmtId="0" fontId="24" fillId="0" borderId="34" xfId="0" applyFont="1" applyBorder="1" applyAlignment="1" applyProtection="1">
      <alignment horizontal="center" vertical="center"/>
    </xf>
    <xf numFmtId="2" fontId="23" fillId="0" borderId="35" xfId="0" applyNumberFormat="1" applyFont="1" applyBorder="1" applyAlignment="1" applyProtection="1">
      <alignment horizontal="right"/>
    </xf>
    <xf numFmtId="0" fontId="23" fillId="0" borderId="36" xfId="0" applyFont="1" applyBorder="1" applyAlignment="1" applyProtection="1">
      <alignment vertical="center"/>
    </xf>
    <xf numFmtId="0" fontId="23" fillId="0" borderId="37" xfId="0" applyFont="1" applyBorder="1" applyProtection="1"/>
    <xf numFmtId="0" fontId="23" fillId="0" borderId="38" xfId="0" applyFont="1" applyBorder="1" applyAlignment="1" applyProtection="1">
      <alignment vertical="center"/>
    </xf>
    <xf numFmtId="0" fontId="23" fillId="0" borderId="39" xfId="0" applyFont="1" applyBorder="1" applyProtection="1"/>
    <xf numFmtId="2" fontId="23" fillId="0" borderId="36" xfId="0" applyNumberFormat="1" applyFont="1" applyBorder="1" applyProtection="1"/>
    <xf numFmtId="2" fontId="23" fillId="0" borderId="38" xfId="0" applyNumberFormat="1" applyFont="1" applyBorder="1" applyProtection="1"/>
    <xf numFmtId="0" fontId="7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15" fontId="7" fillId="0" borderId="0" xfId="0" applyNumberFormat="1" applyFont="1" applyBorder="1" applyAlignment="1">
      <alignment horizontal="center"/>
    </xf>
    <xf numFmtId="2" fontId="7" fillId="0" borderId="0" xfId="0" applyNumberFormat="1" applyFont="1" applyBorder="1"/>
    <xf numFmtId="0" fontId="7" fillId="0" borderId="0" xfId="0" applyFont="1"/>
    <xf numFmtId="0" fontId="7" fillId="0" borderId="0" xfId="0" applyFont="1" applyFill="1" applyBorder="1"/>
    <xf numFmtId="2" fontId="28" fillId="0" borderId="0" xfId="0" applyNumberFormat="1" applyFont="1" applyFill="1" applyBorder="1" applyProtection="1"/>
    <xf numFmtId="2" fontId="7" fillId="0" borderId="0" xfId="0" applyNumberFormat="1" applyFont="1" applyBorder="1" applyAlignment="1">
      <alignment horizontal="right"/>
    </xf>
    <xf numFmtId="0" fontId="1" fillId="3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72" fontId="8" fillId="7" borderId="1" xfId="0" applyNumberFormat="1" applyFont="1" applyFill="1" applyBorder="1" applyAlignment="1">
      <alignment horizontal="center"/>
    </xf>
    <xf numFmtId="172" fontId="1" fillId="7" borderId="1" xfId="0" applyNumberFormat="1" applyFont="1" applyFill="1" applyBorder="1" applyAlignment="1">
      <alignment horizontal="center"/>
    </xf>
    <xf numFmtId="172" fontId="1" fillId="4" borderId="1" xfId="0" applyNumberFormat="1" applyFont="1" applyFill="1" applyBorder="1" applyAlignment="1">
      <alignment horizontal="center"/>
    </xf>
    <xf numFmtId="172" fontId="8" fillId="8" borderId="1" xfId="0" applyNumberFormat="1" applyFont="1" applyFill="1" applyBorder="1" applyAlignment="1">
      <alignment horizontal="center"/>
    </xf>
    <xf numFmtId="172" fontId="1" fillId="5" borderId="1" xfId="0" applyNumberFormat="1" applyFont="1" applyFill="1" applyBorder="1" applyAlignment="1">
      <alignment horizontal="center"/>
    </xf>
    <xf numFmtId="172" fontId="1" fillId="3" borderId="1" xfId="0" applyNumberFormat="1" applyFont="1" applyFill="1" applyBorder="1"/>
    <xf numFmtId="172" fontId="1" fillId="9" borderId="1" xfId="0" applyNumberFormat="1" applyFont="1" applyFill="1" applyBorder="1"/>
    <xf numFmtId="172" fontId="1" fillId="0" borderId="0" xfId="0" applyNumberFormat="1" applyFont="1"/>
    <xf numFmtId="173" fontId="23" fillId="0" borderId="2" xfId="0" applyNumberFormat="1" applyFont="1" applyBorder="1" applyAlignment="1" applyProtection="1">
      <alignment horizontal="right"/>
    </xf>
    <xf numFmtId="0" fontId="8" fillId="7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/>
    <xf numFmtId="174" fontId="1" fillId="0" borderId="0" xfId="0" applyNumberFormat="1" applyFont="1"/>
    <xf numFmtId="174" fontId="1" fillId="0" borderId="0" xfId="0" applyNumberFormat="1" applyFont="1" applyFill="1"/>
    <xf numFmtId="174" fontId="1" fillId="0" borderId="0" xfId="0" applyNumberFormat="1" applyFont="1" applyAlignment="1">
      <alignment vertical="center"/>
    </xf>
    <xf numFmtId="0" fontId="1" fillId="0" borderId="7" xfId="0" applyNumberFormat="1" applyFont="1" applyBorder="1" applyAlignment="1">
      <alignment horizontal="center" vertical="center"/>
    </xf>
    <xf numFmtId="0" fontId="1" fillId="4" borderId="15" xfId="0" applyNumberFormat="1" applyFont="1" applyFill="1" applyBorder="1" applyProtection="1"/>
    <xf numFmtId="0" fontId="8" fillId="8" borderId="15" xfId="0" applyNumberFormat="1" applyFont="1" applyFill="1" applyBorder="1"/>
    <xf numFmtId="0" fontId="1" fillId="5" borderId="15" xfId="0" applyNumberFormat="1" applyFont="1" applyFill="1" applyBorder="1" applyProtection="1"/>
    <xf numFmtId="0" fontId="1" fillId="3" borderId="15" xfId="0" applyFont="1" applyFill="1" applyBorder="1"/>
    <xf numFmtId="0" fontId="1" fillId="9" borderId="15" xfId="0" applyFont="1" applyFill="1" applyBorder="1"/>
    <xf numFmtId="0" fontId="1" fillId="4" borderId="1" xfId="0" applyNumberFormat="1" applyFont="1" applyFill="1" applyBorder="1"/>
    <xf numFmtId="0" fontId="8" fillId="8" borderId="1" xfId="0" applyNumberFormat="1" applyFont="1" applyFill="1" applyBorder="1" applyAlignment="1">
      <alignment horizontal="right"/>
    </xf>
    <xf numFmtId="0" fontId="23" fillId="0" borderId="16" xfId="0" applyFont="1" applyBorder="1" applyAlignment="1" applyProtection="1">
      <alignment horizontal="right"/>
    </xf>
    <xf numFmtId="2" fontId="39" fillId="0" borderId="0" xfId="0" applyNumberFormat="1" applyFont="1" applyBorder="1" applyAlignment="1">
      <alignment horizontal="center"/>
    </xf>
    <xf numFmtId="0" fontId="14" fillId="0" borderId="0" xfId="0" applyFont="1"/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0" xfId="0" applyFont="1" applyBorder="1" applyAlignment="1">
      <alignment horizontal="left"/>
    </xf>
    <xf numFmtId="15" fontId="14" fillId="0" borderId="0" xfId="0" applyNumberFormat="1" applyFont="1" applyBorder="1" applyAlignment="1">
      <alignment horizontal="center"/>
    </xf>
    <xf numFmtId="0" fontId="23" fillId="0" borderId="0" xfId="0" applyFont="1" applyBorder="1" applyAlignment="1" applyProtection="1"/>
    <xf numFmtId="0" fontId="36" fillId="0" borderId="0" xfId="0" applyFont="1" applyFill="1" applyBorder="1" applyAlignment="1" applyProtection="1"/>
    <xf numFmtId="0" fontId="31" fillId="0" borderId="0" xfId="0" applyFont="1"/>
    <xf numFmtId="0" fontId="31" fillId="0" borderId="0" xfId="0" applyFont="1" applyBorder="1" applyAlignment="1">
      <alignment horizontal="center"/>
    </xf>
    <xf numFmtId="15" fontId="31" fillId="0" borderId="0" xfId="0" applyNumberFormat="1" applyFont="1" applyBorder="1" applyAlignment="1">
      <alignment horizontal="center"/>
    </xf>
    <xf numFmtId="0" fontId="31" fillId="0" borderId="0" xfId="0" applyFont="1" applyBorder="1" applyAlignment="1">
      <alignment horizontal="left"/>
    </xf>
    <xf numFmtId="2" fontId="31" fillId="0" borderId="0" xfId="0" applyNumberFormat="1" applyFont="1" applyBorder="1"/>
    <xf numFmtId="0" fontId="36" fillId="0" borderId="9" xfId="0" applyFont="1" applyFill="1" applyBorder="1" applyAlignment="1" applyProtection="1"/>
    <xf numFmtId="0" fontId="36" fillId="0" borderId="10" xfId="0" applyFont="1" applyFill="1" applyBorder="1" applyAlignment="1" applyProtection="1"/>
    <xf numFmtId="0" fontId="36" fillId="0" borderId="4" xfId="0" applyFont="1" applyFill="1" applyBorder="1" applyAlignment="1" applyProtection="1"/>
    <xf numFmtId="0" fontId="23" fillId="0" borderId="4" xfId="0" applyFont="1" applyBorder="1"/>
    <xf numFmtId="0" fontId="23" fillId="0" borderId="12" xfId="0" applyFont="1" applyBorder="1" applyAlignment="1">
      <alignment horizontal="center"/>
    </xf>
    <xf numFmtId="0" fontId="24" fillId="0" borderId="13" xfId="0" applyFont="1" applyBorder="1" applyAlignment="1" applyProtection="1"/>
    <xf numFmtId="0" fontId="24" fillId="0" borderId="12" xfId="0" applyFont="1" applyBorder="1" applyAlignment="1" applyProtection="1">
      <alignment horizontal="right"/>
    </xf>
    <xf numFmtId="0" fontId="24" fillId="0" borderId="14" xfId="0" applyFont="1" applyBorder="1" applyAlignment="1" applyProtection="1"/>
    <xf numFmtId="0" fontId="36" fillId="0" borderId="1" xfId="0" applyFont="1" applyFill="1" applyBorder="1" applyAlignment="1">
      <alignment horizontal="center" vertical="center" wrapText="1"/>
    </xf>
    <xf numFmtId="0" fontId="36" fillId="0" borderId="1" xfId="0" applyFont="1" applyFill="1" applyBorder="1" applyAlignment="1">
      <alignment horizontal="left" vertical="center" wrapText="1"/>
    </xf>
    <xf numFmtId="2" fontId="42" fillId="0" borderId="0" xfId="0" applyNumberFormat="1" applyFont="1" applyBorder="1"/>
    <xf numFmtId="0" fontId="42" fillId="0" borderId="0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Border="1"/>
    <xf numFmtId="2" fontId="26" fillId="0" borderId="0" xfId="0" applyNumberFormat="1" applyFont="1" applyBorder="1" applyAlignment="1">
      <alignment horizontal="right"/>
    </xf>
    <xf numFmtId="0" fontId="24" fillId="0" borderId="4" xfId="0" applyFont="1" applyBorder="1" applyAlignment="1" applyProtection="1">
      <alignment horizontal="center" vertical="center"/>
    </xf>
    <xf numFmtId="15" fontId="24" fillId="0" borderId="3" xfId="0" applyNumberFormat="1" applyFont="1" applyBorder="1" applyAlignment="1" applyProtection="1">
      <alignment horizontal="center" vertical="center"/>
    </xf>
    <xf numFmtId="2" fontId="14" fillId="0" borderId="0" xfId="0" applyNumberFormat="1" applyFont="1" applyBorder="1"/>
    <xf numFmtId="0" fontId="4" fillId="0" borderId="0" xfId="0" applyFont="1"/>
    <xf numFmtId="0" fontId="24" fillId="0" borderId="4" xfId="0" applyFont="1" applyBorder="1" applyAlignment="1" applyProtection="1">
      <alignment horizontal="left"/>
    </xf>
    <xf numFmtId="175" fontId="8" fillId="7" borderId="1" xfId="0" applyNumberFormat="1" applyFont="1" applyFill="1" applyBorder="1" applyAlignment="1">
      <alignment horizontal="center"/>
    </xf>
    <xf numFmtId="175" fontId="1" fillId="7" borderId="1" xfId="0" applyNumberFormat="1" applyFont="1" applyFill="1" applyBorder="1" applyAlignment="1">
      <alignment horizontal="center"/>
    </xf>
    <xf numFmtId="175" fontId="1" fillId="4" borderId="1" xfId="0" applyNumberFormat="1" applyFont="1" applyFill="1" applyBorder="1" applyAlignment="1">
      <alignment horizontal="center"/>
    </xf>
    <xf numFmtId="175" fontId="8" fillId="8" borderId="1" xfId="0" applyNumberFormat="1" applyFont="1" applyFill="1" applyBorder="1" applyAlignment="1">
      <alignment horizontal="center"/>
    </xf>
    <xf numFmtId="175" fontId="1" fillId="5" borderId="1" xfId="0" applyNumberFormat="1" applyFont="1" applyFill="1" applyBorder="1" applyAlignment="1">
      <alignment horizontal="center"/>
    </xf>
    <xf numFmtId="175" fontId="8" fillId="3" borderId="1" xfId="0" applyNumberFormat="1" applyFont="1" applyFill="1" applyBorder="1" applyAlignment="1">
      <alignment horizontal="center"/>
    </xf>
    <xf numFmtId="175" fontId="1" fillId="9" borderId="1" xfId="0" applyNumberFormat="1" applyFont="1" applyFill="1" applyBorder="1" applyAlignment="1">
      <alignment horizontal="center"/>
    </xf>
    <xf numFmtId="175" fontId="1" fillId="0" borderId="0" xfId="0" applyNumberFormat="1" applyFont="1" applyAlignment="1">
      <alignment horizontal="center"/>
    </xf>
    <xf numFmtId="0" fontId="7" fillId="0" borderId="0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center"/>
    </xf>
    <xf numFmtId="15" fontId="7" fillId="0" borderId="0" xfId="0" applyNumberFormat="1" applyFont="1" applyFill="1" applyBorder="1" applyAlignment="1">
      <alignment horizontal="center"/>
    </xf>
    <xf numFmtId="2" fontId="7" fillId="0" borderId="0" xfId="0" applyNumberFormat="1" applyFont="1" applyFill="1" applyBorder="1"/>
    <xf numFmtId="2" fontId="7" fillId="0" borderId="0" xfId="0" applyNumberFormat="1" applyFont="1" applyFill="1" applyBorder="1" applyAlignment="1">
      <alignment horizontal="right"/>
    </xf>
    <xf numFmtId="0" fontId="7" fillId="0" borderId="0" xfId="0" applyFont="1" applyFill="1"/>
    <xf numFmtId="15" fontId="7" fillId="0" borderId="0" xfId="0" applyNumberFormat="1" applyFont="1" applyFill="1" applyAlignment="1">
      <alignment horizontal="center"/>
    </xf>
    <xf numFmtId="0" fontId="14" fillId="6" borderId="0" xfId="0" applyFont="1" applyFill="1" applyBorder="1" applyAlignment="1">
      <alignment horizontal="left"/>
    </xf>
    <xf numFmtId="15" fontId="14" fillId="6" borderId="0" xfId="0" applyNumberFormat="1" applyFont="1" applyFill="1" applyBorder="1" applyAlignment="1">
      <alignment horizontal="center"/>
    </xf>
    <xf numFmtId="0" fontId="39" fillId="6" borderId="0" xfId="0" applyFont="1" applyFill="1" applyBorder="1" applyAlignment="1">
      <alignment horizontal="left"/>
    </xf>
    <xf numFmtId="0" fontId="39" fillId="6" borderId="0" xfId="0" applyFont="1" applyFill="1" applyBorder="1" applyAlignment="1">
      <alignment horizontal="center"/>
    </xf>
    <xf numFmtId="14" fontId="39" fillId="6" borderId="0" xfId="0" applyNumberFormat="1" applyFont="1" applyFill="1" applyBorder="1" applyAlignment="1">
      <alignment horizontal="center"/>
    </xf>
    <xf numFmtId="2" fontId="39" fillId="6" borderId="0" xfId="0" applyNumberFormat="1" applyFont="1" applyFill="1" applyBorder="1"/>
    <xf numFmtId="0" fontId="39" fillId="6" borderId="0" xfId="0" applyFont="1" applyFill="1" applyBorder="1"/>
    <xf numFmtId="0" fontId="39" fillId="6" borderId="0" xfId="0" applyFont="1" applyFill="1"/>
    <xf numFmtId="0" fontId="7" fillId="10" borderId="0" xfId="0" applyFont="1" applyFill="1" applyBorder="1" applyAlignment="1">
      <alignment horizontal="left"/>
    </xf>
    <xf numFmtId="0" fontId="7" fillId="10" borderId="0" xfId="0" applyFont="1" applyFill="1" applyBorder="1" applyAlignment="1">
      <alignment horizontal="center"/>
    </xf>
    <xf numFmtId="15" fontId="7" fillId="10" borderId="0" xfId="0" applyNumberFormat="1" applyFont="1" applyFill="1" applyBorder="1" applyAlignment="1">
      <alignment horizontal="center"/>
    </xf>
    <xf numFmtId="2" fontId="7" fillId="10" borderId="0" xfId="0" applyNumberFormat="1" applyFont="1" applyFill="1" applyBorder="1"/>
    <xf numFmtId="2" fontId="7" fillId="10" borderId="0" xfId="0" applyNumberFormat="1" applyFont="1" applyFill="1" applyBorder="1" applyAlignment="1">
      <alignment horizontal="right"/>
    </xf>
    <xf numFmtId="0" fontId="7" fillId="10" borderId="0" xfId="0" applyFont="1" applyFill="1"/>
    <xf numFmtId="0" fontId="14" fillId="0" borderId="0" xfId="0" applyFont="1" applyFill="1"/>
    <xf numFmtId="0" fontId="14" fillId="0" borderId="0" xfId="0" applyFont="1" applyFill="1" applyBorder="1" applyAlignment="1" applyProtection="1"/>
    <xf numFmtId="0" fontId="15" fillId="0" borderId="0" xfId="0" applyFont="1" applyFill="1" applyBorder="1" applyAlignment="1" applyProtection="1"/>
    <xf numFmtId="0" fontId="14" fillId="0" borderId="0" xfId="0" applyFont="1" applyFill="1" applyBorder="1" applyAlignment="1">
      <alignment horizontal="center"/>
    </xf>
    <xf numFmtId="15" fontId="14" fillId="0" borderId="0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left"/>
    </xf>
    <xf numFmtId="2" fontId="14" fillId="0" borderId="0" xfId="0" applyNumberFormat="1" applyFont="1" applyFill="1" applyBorder="1"/>
    <xf numFmtId="0" fontId="14" fillId="0" borderId="0" xfId="0" applyFont="1" applyFill="1" applyBorder="1"/>
    <xf numFmtId="14" fontId="14" fillId="0" borderId="0" xfId="0" applyNumberFormat="1" applyFont="1" applyFill="1"/>
    <xf numFmtId="0" fontId="14" fillId="10" borderId="0" xfId="0" applyFont="1" applyFill="1" applyBorder="1" applyAlignment="1">
      <alignment horizontal="center"/>
    </xf>
    <xf numFmtId="15" fontId="14" fillId="10" borderId="0" xfId="0" applyNumberFormat="1" applyFont="1" applyFill="1" applyBorder="1" applyAlignment="1">
      <alignment horizontal="center"/>
    </xf>
    <xf numFmtId="0" fontId="14" fillId="10" borderId="0" xfId="0" applyFont="1" applyFill="1" applyBorder="1" applyAlignment="1">
      <alignment horizontal="left"/>
    </xf>
    <xf numFmtId="2" fontId="14" fillId="10" borderId="0" xfId="0" applyNumberFormat="1" applyFont="1" applyFill="1" applyBorder="1"/>
    <xf numFmtId="0" fontId="14" fillId="10" borderId="0" xfId="0" applyFont="1" applyFill="1" applyBorder="1"/>
    <xf numFmtId="0" fontId="14" fillId="10" borderId="0" xfId="0" applyFont="1" applyFill="1"/>
    <xf numFmtId="0" fontId="31" fillId="0" borderId="0" xfId="0" applyFont="1" applyFill="1"/>
    <xf numFmtId="0" fontId="12" fillId="0" borderId="0" xfId="0" applyFont="1" applyFill="1" applyBorder="1" applyAlignment="1" applyProtection="1"/>
    <xf numFmtId="0" fontId="31" fillId="0" borderId="0" xfId="0" applyFont="1" applyFill="1" applyBorder="1" applyAlignment="1" applyProtection="1"/>
    <xf numFmtId="0" fontId="5" fillId="0" borderId="0" xfId="0" applyFont="1" applyFill="1" applyBorder="1" applyAlignment="1" applyProtection="1"/>
    <xf numFmtId="0" fontId="26" fillId="0" borderId="0" xfId="0" applyFont="1" applyFill="1" applyBorder="1" applyAlignment="1" applyProtection="1"/>
    <xf numFmtId="0" fontId="31" fillId="0" borderId="0" xfId="0" applyFont="1" applyFill="1" applyBorder="1" applyAlignment="1">
      <alignment horizontal="center"/>
    </xf>
    <xf numFmtId="15" fontId="31" fillId="0" borderId="0" xfId="0" applyNumberFormat="1" applyFont="1" applyFill="1" applyBorder="1" applyAlignment="1">
      <alignment horizontal="center"/>
    </xf>
    <xf numFmtId="0" fontId="31" fillId="0" borderId="0" xfId="0" applyFont="1" applyFill="1" applyBorder="1" applyAlignment="1">
      <alignment horizontal="left"/>
    </xf>
    <xf numFmtId="2" fontId="31" fillId="0" borderId="0" xfId="0" applyNumberFormat="1" applyFont="1" applyFill="1" applyBorder="1"/>
    <xf numFmtId="15" fontId="31" fillId="0" borderId="0" xfId="0" applyNumberFormat="1" applyFont="1" applyFill="1" applyAlignment="1">
      <alignment horizontal="center"/>
    </xf>
    <xf numFmtId="0" fontId="31" fillId="10" borderId="0" xfId="0" applyFont="1" applyFill="1" applyBorder="1" applyAlignment="1">
      <alignment horizontal="center"/>
    </xf>
    <xf numFmtId="15" fontId="31" fillId="10" borderId="0" xfId="0" applyNumberFormat="1" applyFont="1" applyFill="1" applyBorder="1" applyAlignment="1">
      <alignment horizontal="center"/>
    </xf>
    <xf numFmtId="0" fontId="31" fillId="10" borderId="0" xfId="0" applyFont="1" applyFill="1" applyBorder="1" applyAlignment="1">
      <alignment horizontal="left"/>
    </xf>
    <xf numFmtId="2" fontId="31" fillId="10" borderId="0" xfId="0" applyNumberFormat="1" applyFont="1" applyFill="1" applyBorder="1"/>
    <xf numFmtId="0" fontId="31" fillId="10" borderId="0" xfId="0" applyFont="1" applyFill="1"/>
    <xf numFmtId="0" fontId="1" fillId="0" borderId="0" xfId="0" applyFont="1" applyFill="1" applyAlignment="1"/>
    <xf numFmtId="0" fontId="0" fillId="0" borderId="1" xfId="0" applyFill="1" applyBorder="1"/>
    <xf numFmtId="0" fontId="0" fillId="0" borderId="0" xfId="0" applyFill="1"/>
    <xf numFmtId="0" fontId="47" fillId="0" borderId="1" xfId="0" applyFont="1" applyFill="1" applyBorder="1"/>
    <xf numFmtId="0" fontId="0" fillId="10" borderId="1" xfId="0" applyFill="1" applyBorder="1"/>
    <xf numFmtId="0" fontId="0" fillId="10" borderId="0" xfId="0" applyFill="1"/>
    <xf numFmtId="0" fontId="19" fillId="0" borderId="0" xfId="0" applyFont="1" applyBorder="1" applyAlignment="1" applyProtection="1">
      <alignment horizontal="center" vertical="center"/>
    </xf>
    <xf numFmtId="0" fontId="46" fillId="0" borderId="0" xfId="0" applyFont="1" applyBorder="1" applyAlignment="1" applyProtection="1">
      <alignment horizontal="right"/>
    </xf>
    <xf numFmtId="0" fontId="46" fillId="0" borderId="13" xfId="0" applyFont="1" applyBorder="1" applyAlignment="1" applyProtection="1">
      <alignment horizontal="right"/>
    </xf>
    <xf numFmtId="0" fontId="18" fillId="0" borderId="9" xfId="0" applyFont="1" applyFill="1" applyBorder="1" applyAlignment="1" applyProtection="1">
      <alignment horizontal="center"/>
    </xf>
    <xf numFmtId="0" fontId="18" fillId="0" borderId="10" xfId="0" applyFont="1" applyFill="1" applyBorder="1" applyAlignment="1" applyProtection="1">
      <alignment horizontal="center"/>
    </xf>
    <xf numFmtId="0" fontId="18" fillId="0" borderId="11" xfId="0" applyFont="1" applyFill="1" applyBorder="1" applyAlignment="1" applyProtection="1">
      <alignment horizontal="center"/>
    </xf>
    <xf numFmtId="0" fontId="18" fillId="0" borderId="4" xfId="0" applyFont="1" applyFill="1" applyBorder="1" applyAlignment="1" applyProtection="1">
      <alignment horizontal="center"/>
    </xf>
    <xf numFmtId="0" fontId="18" fillId="0" borderId="0" xfId="0" applyFont="1" applyFill="1" applyBorder="1" applyAlignment="1" applyProtection="1">
      <alignment horizontal="center"/>
    </xf>
    <xf numFmtId="0" fontId="18" fillId="0" borderId="3" xfId="0" applyFont="1" applyFill="1" applyBorder="1" applyAlignment="1" applyProtection="1">
      <alignment horizontal="center"/>
    </xf>
    <xf numFmtId="0" fontId="23" fillId="0" borderId="4" xfId="0" applyFont="1" applyBorder="1" applyAlignment="1" applyProtection="1">
      <alignment horizontal="center"/>
    </xf>
    <xf numFmtId="0" fontId="23" fillId="0" borderId="0" xfId="0" applyFont="1" applyBorder="1" applyAlignment="1" applyProtection="1">
      <alignment horizontal="center"/>
    </xf>
    <xf numFmtId="0" fontId="23" fillId="0" borderId="3" xfId="0" applyFont="1" applyBorder="1" applyAlignment="1" applyProtection="1">
      <alignment horizontal="center"/>
    </xf>
    <xf numFmtId="0" fontId="25" fillId="0" borderId="4" xfId="0" applyFont="1" applyBorder="1" applyAlignment="1" applyProtection="1">
      <alignment horizontal="center"/>
    </xf>
    <xf numFmtId="0" fontId="25" fillId="0" borderId="0" xfId="0" applyFont="1" applyBorder="1" applyAlignment="1" applyProtection="1">
      <alignment horizontal="center"/>
    </xf>
    <xf numFmtId="0" fontId="25" fillId="0" borderId="3" xfId="0" applyFont="1" applyBorder="1" applyAlignment="1" applyProtection="1">
      <alignment horizontal="center"/>
    </xf>
    <xf numFmtId="2" fontId="27" fillId="0" borderId="0" xfId="0" applyNumberFormat="1" applyFont="1" applyBorder="1" applyAlignment="1" applyProtection="1">
      <alignment horizontal="right"/>
    </xf>
    <xf numFmtId="0" fontId="29" fillId="0" borderId="0" xfId="0" applyFont="1" applyBorder="1" applyAlignment="1" applyProtection="1">
      <alignment horizontal="center"/>
    </xf>
    <xf numFmtId="0" fontId="29" fillId="0" borderId="0" xfId="0" applyFont="1" applyBorder="1" applyAlignment="1" applyProtection="1">
      <alignment horizontal="left"/>
    </xf>
    <xf numFmtId="0" fontId="27" fillId="0" borderId="0" xfId="0" applyFont="1" applyBorder="1" applyAlignment="1" applyProtection="1">
      <alignment horizontal="left"/>
    </xf>
    <xf numFmtId="0" fontId="27" fillId="0" borderId="4" xfId="0" applyFont="1" applyBorder="1" applyAlignment="1" applyProtection="1">
      <alignment horizontal="center"/>
    </xf>
    <xf numFmtId="0" fontId="27" fillId="0" borderId="0" xfId="0" applyFont="1" applyBorder="1" applyAlignment="1" applyProtection="1">
      <alignment horizontal="center"/>
    </xf>
    <xf numFmtId="170" fontId="34" fillId="0" borderId="0" xfId="0" applyNumberFormat="1" applyFont="1" applyBorder="1" applyAlignment="1" applyProtection="1">
      <alignment horizontal="right"/>
      <protection locked="0"/>
    </xf>
    <xf numFmtId="167" fontId="27" fillId="0" borderId="0" xfId="0" applyNumberFormat="1" applyFont="1" applyBorder="1" applyAlignment="1" applyProtection="1">
      <alignment horizontal="right" vertical="center"/>
      <protection locked="0"/>
    </xf>
    <xf numFmtId="0" fontId="27" fillId="0" borderId="13" xfId="0" applyFont="1" applyBorder="1" applyAlignment="1" applyProtection="1">
      <alignment horizontal="left"/>
    </xf>
    <xf numFmtId="0" fontId="26" fillId="0" borderId="1" xfId="0" applyFont="1" applyBorder="1" applyAlignment="1" applyProtection="1">
      <alignment horizontal="center"/>
    </xf>
    <xf numFmtId="0" fontId="26" fillId="0" borderId="8" xfId="0" applyFont="1" applyBorder="1" applyAlignment="1" applyProtection="1">
      <alignment horizontal="center" vertical="center" wrapText="1"/>
    </xf>
    <xf numFmtId="0" fontId="26" fillId="0" borderId="6" xfId="0" applyFont="1" applyBorder="1" applyAlignment="1" applyProtection="1">
      <alignment horizontal="center" vertical="center" wrapText="1"/>
    </xf>
    <xf numFmtId="0" fontId="26" fillId="0" borderId="8" xfId="0" applyFont="1" applyBorder="1" applyAlignment="1" applyProtection="1">
      <alignment horizontal="center" vertical="center"/>
    </xf>
    <xf numFmtId="0" fontId="26" fillId="0" borderId="6" xfId="0" applyFont="1" applyBorder="1" applyAlignment="1" applyProtection="1">
      <alignment horizontal="center" vertical="center"/>
    </xf>
    <xf numFmtId="0" fontId="23" fillId="0" borderId="9" xfId="0" applyFont="1" applyFill="1" applyBorder="1" applyAlignment="1" applyProtection="1">
      <alignment horizontal="left"/>
    </xf>
    <xf numFmtId="0" fontId="23" fillId="0" borderId="11" xfId="0" applyFont="1" applyFill="1" applyBorder="1" applyAlignment="1" applyProtection="1">
      <alignment horizontal="left"/>
    </xf>
    <xf numFmtId="0" fontId="23" fillId="0" borderId="4" xfId="0" applyFont="1" applyBorder="1" applyAlignment="1" applyProtection="1">
      <alignment horizontal="left"/>
    </xf>
    <xf numFmtId="0" fontId="23" fillId="0" borderId="3" xfId="0" applyFont="1" applyBorder="1" applyAlignment="1" applyProtection="1">
      <alignment horizontal="left"/>
    </xf>
    <xf numFmtId="17" fontId="23" fillId="0" borderId="4" xfId="0" applyNumberFormat="1" applyFont="1" applyBorder="1" applyAlignment="1" applyProtection="1">
      <alignment horizontal="left"/>
    </xf>
    <xf numFmtId="2" fontId="26" fillId="0" borderId="8" xfId="0" applyNumberFormat="1" applyFont="1" applyBorder="1" applyAlignment="1" applyProtection="1">
      <alignment horizontal="center" vertical="center" wrapText="1"/>
    </xf>
    <xf numFmtId="2" fontId="26" fillId="0" borderId="6" xfId="0" applyNumberFormat="1" applyFont="1" applyBorder="1" applyAlignment="1" applyProtection="1">
      <alignment horizontal="center" vertical="center" wrapText="1"/>
    </xf>
    <xf numFmtId="0" fontId="12" fillId="0" borderId="2" xfId="0" applyFont="1" applyBorder="1" applyAlignment="1" applyProtection="1">
      <alignment horizontal="left"/>
    </xf>
    <xf numFmtId="0" fontId="23" fillId="0" borderId="15" xfId="0" applyFont="1" applyBorder="1" applyAlignment="1" applyProtection="1">
      <alignment horizontal="left"/>
    </xf>
    <xf numFmtId="0" fontId="23" fillId="0" borderId="16" xfId="0" applyFont="1" applyBorder="1" applyAlignment="1" applyProtection="1">
      <alignment horizontal="left"/>
    </xf>
    <xf numFmtId="0" fontId="23" fillId="0" borderId="16" xfId="0" applyFont="1" applyBorder="1" applyAlignment="1" applyProtection="1">
      <alignment horizontal="right"/>
    </xf>
    <xf numFmtId="164" fontId="23" fillId="0" borderId="16" xfId="0" applyNumberFormat="1" applyFont="1" applyBorder="1" applyAlignment="1" applyProtection="1">
      <alignment horizontal="left"/>
    </xf>
    <xf numFmtId="0" fontId="24" fillId="0" borderId="9" xfId="0" applyFont="1" applyBorder="1" applyAlignment="1" applyProtection="1">
      <alignment horizontal="center"/>
    </xf>
    <xf numFmtId="0" fontId="24" fillId="0" borderId="4" xfId="0" applyFont="1" applyBorder="1" applyAlignment="1" applyProtection="1">
      <alignment horizontal="center"/>
    </xf>
    <xf numFmtId="0" fontId="24" fillId="0" borderId="10" xfId="0" applyFont="1" applyBorder="1" applyAlignment="1" applyProtection="1">
      <alignment horizontal="center"/>
    </xf>
    <xf numFmtId="0" fontId="24" fillId="0" borderId="0" xfId="0" applyFont="1" applyBorder="1" applyAlignment="1" applyProtection="1">
      <alignment horizontal="center"/>
    </xf>
    <xf numFmtId="2" fontId="45" fillId="0" borderId="10" xfId="0" applyNumberFormat="1" applyFont="1" applyBorder="1" applyAlignment="1" applyProtection="1">
      <alignment horizontal="center"/>
    </xf>
    <xf numFmtId="2" fontId="45" fillId="0" borderId="0" xfId="0" applyNumberFormat="1" applyFont="1" applyBorder="1" applyAlignment="1" applyProtection="1">
      <alignment horizontal="center"/>
    </xf>
    <xf numFmtId="2" fontId="45" fillId="0" borderId="11" xfId="0" applyNumberFormat="1" applyFont="1" applyBorder="1" applyAlignment="1" applyProtection="1">
      <alignment horizontal="center"/>
    </xf>
    <xf numFmtId="2" fontId="45" fillId="0" borderId="3" xfId="0" applyNumberFormat="1" applyFont="1" applyBorder="1" applyAlignment="1" applyProtection="1">
      <alignment horizontal="center"/>
    </xf>
    <xf numFmtId="0" fontId="27" fillId="0" borderId="9" xfId="0" applyFont="1" applyBorder="1" applyAlignment="1" applyProtection="1">
      <alignment horizontal="center" vertical="center"/>
    </xf>
    <xf numFmtId="0" fontId="27" fillId="0" borderId="10" xfId="0" applyFont="1" applyBorder="1" applyAlignment="1" applyProtection="1">
      <alignment horizontal="center" vertical="center"/>
    </xf>
    <xf numFmtId="0" fontId="27" fillId="0" borderId="4" xfId="0" applyFont="1" applyBorder="1" applyAlignment="1" applyProtection="1">
      <alignment horizontal="center" vertical="center"/>
    </xf>
    <xf numFmtId="0" fontId="27" fillId="0" borderId="0" xfId="0" applyFont="1" applyBorder="1" applyAlignment="1" applyProtection="1">
      <alignment horizontal="center" vertical="center"/>
    </xf>
    <xf numFmtId="2" fontId="30" fillId="0" borderId="0" xfId="0" applyNumberFormat="1" applyFont="1" applyBorder="1" applyAlignment="1" applyProtection="1">
      <alignment vertical="center"/>
    </xf>
    <xf numFmtId="0" fontId="28" fillId="0" borderId="0" xfId="0" applyFont="1" applyBorder="1" applyAlignment="1" applyProtection="1">
      <alignment horizontal="left"/>
    </xf>
    <xf numFmtId="9" fontId="23" fillId="0" borderId="4" xfId="0" applyNumberFormat="1" applyFont="1" applyBorder="1" applyAlignment="1" applyProtection="1">
      <alignment horizontal="center" vertical="center"/>
    </xf>
    <xf numFmtId="0" fontId="23" fillId="0" borderId="4" xfId="0" applyFont="1" applyBorder="1" applyAlignment="1" applyProtection="1">
      <alignment horizontal="center" vertical="center"/>
    </xf>
    <xf numFmtId="2" fontId="23" fillId="0" borderId="0" xfId="0" applyNumberFormat="1" applyFont="1" applyBorder="1" applyAlignment="1" applyProtection="1">
      <alignment horizontal="center" vertical="center"/>
    </xf>
    <xf numFmtId="2" fontId="23" fillId="0" borderId="0" xfId="0" applyNumberFormat="1" applyFont="1" applyBorder="1" applyAlignment="1" applyProtection="1">
      <alignment horizontal="center"/>
    </xf>
    <xf numFmtId="2" fontId="23" fillId="0" borderId="3" xfId="0" applyNumberFormat="1" applyFont="1" applyBorder="1" applyAlignment="1" applyProtection="1">
      <alignment horizontal="center"/>
    </xf>
    <xf numFmtId="0" fontId="28" fillId="0" borderId="0" xfId="0" applyFont="1" applyBorder="1" applyAlignment="1" applyProtection="1">
      <alignment vertical="center"/>
    </xf>
    <xf numFmtId="0" fontId="28" fillId="0" borderId="0" xfId="0" applyFont="1" applyBorder="1" applyAlignment="1" applyProtection="1">
      <alignment horizontal="left" vertical="center"/>
    </xf>
    <xf numFmtId="1" fontId="28" fillId="0" borderId="0" xfId="0" applyNumberFormat="1" applyFont="1" applyBorder="1" applyAlignment="1" applyProtection="1">
      <alignment horizontal="left" vertical="center"/>
    </xf>
    <xf numFmtId="0" fontId="33" fillId="0" borderId="0" xfId="0" applyFont="1" applyBorder="1" applyAlignment="1" applyProtection="1">
      <alignment horizontal="left"/>
    </xf>
    <xf numFmtId="0" fontId="29" fillId="0" borderId="16" xfId="0" applyFont="1" applyBorder="1" applyAlignment="1" applyProtection="1">
      <alignment horizontal="center"/>
    </xf>
    <xf numFmtId="0" fontId="27" fillId="0" borderId="12" xfId="0" applyFont="1" applyBorder="1" applyAlignment="1" applyProtection="1">
      <alignment horizontal="center" vertical="center"/>
    </xf>
    <xf numFmtId="0" fontId="27" fillId="0" borderId="13" xfId="0" applyFont="1" applyBorder="1" applyAlignment="1" applyProtection="1">
      <alignment horizontal="center" vertical="center"/>
    </xf>
    <xf numFmtId="2" fontId="30" fillId="0" borderId="13" xfId="0" applyNumberFormat="1" applyFont="1" applyBorder="1" applyAlignment="1" applyProtection="1">
      <alignment vertical="center"/>
    </xf>
    <xf numFmtId="0" fontId="24" fillId="0" borderId="0" xfId="0" applyFont="1" applyBorder="1" applyAlignment="1" applyProtection="1">
      <alignment horizontal="center" vertical="center"/>
    </xf>
    <xf numFmtId="0" fontId="32" fillId="0" borderId="16" xfId="0" applyFont="1" applyBorder="1" applyAlignment="1" applyProtection="1">
      <alignment horizontal="left"/>
    </xf>
    <xf numFmtId="0" fontId="23" fillId="0" borderId="17" xfId="0" applyFont="1" applyBorder="1" applyAlignment="1" applyProtection="1">
      <alignment horizontal="left"/>
    </xf>
    <xf numFmtId="0" fontId="24" fillId="0" borderId="11" xfId="0" applyFont="1" applyBorder="1" applyAlignment="1" applyProtection="1">
      <alignment horizontal="center"/>
    </xf>
    <xf numFmtId="0" fontId="24" fillId="0" borderId="3" xfId="0" applyFont="1" applyBorder="1" applyAlignment="1" applyProtection="1">
      <alignment horizontal="center"/>
    </xf>
    <xf numFmtId="0" fontId="21" fillId="0" borderId="0" xfId="0" applyFont="1" applyBorder="1" applyAlignment="1" applyProtection="1">
      <alignment horizontal="center"/>
    </xf>
    <xf numFmtId="0" fontId="21" fillId="0" borderId="13" xfId="0" applyFont="1" applyBorder="1" applyAlignment="1" applyProtection="1">
      <alignment horizontal="center"/>
    </xf>
    <xf numFmtId="171" fontId="23" fillId="0" borderId="9" xfId="0" applyNumberFormat="1" applyFont="1" applyFill="1" applyBorder="1" applyAlignment="1" applyProtection="1">
      <alignment horizontal="left"/>
    </xf>
    <xf numFmtId="171" fontId="23" fillId="0" borderId="11" xfId="0" applyNumberFormat="1" applyFont="1" applyFill="1" applyBorder="1" applyAlignment="1" applyProtection="1">
      <alignment horizontal="left"/>
    </xf>
    <xf numFmtId="171" fontId="23" fillId="0" borderId="4" xfId="0" applyNumberFormat="1" applyFont="1" applyFill="1" applyBorder="1" applyAlignment="1" applyProtection="1">
      <alignment horizontal="left"/>
    </xf>
    <xf numFmtId="171" fontId="23" fillId="0" borderId="3" xfId="0" applyNumberFormat="1" applyFont="1" applyFill="1" applyBorder="1" applyAlignment="1" applyProtection="1">
      <alignment horizontal="left"/>
    </xf>
    <xf numFmtId="0" fontId="45" fillId="0" borderId="40" xfId="0" applyFont="1" applyBorder="1" applyAlignment="1" applyProtection="1">
      <alignment horizontal="center" vertical="center"/>
    </xf>
    <xf numFmtId="0" fontId="45" fillId="0" borderId="43" xfId="0" applyFont="1" applyBorder="1" applyAlignment="1" applyProtection="1">
      <alignment horizontal="center" vertical="center"/>
    </xf>
    <xf numFmtId="0" fontId="45" fillId="0" borderId="41" xfId="0" applyFont="1" applyBorder="1" applyAlignment="1" applyProtection="1">
      <alignment horizontal="center" vertical="center"/>
    </xf>
    <xf numFmtId="0" fontId="45" fillId="0" borderId="44" xfId="0" applyFont="1" applyBorder="1" applyAlignment="1" applyProtection="1">
      <alignment horizontal="center" vertical="center"/>
    </xf>
    <xf numFmtId="2" fontId="45" fillId="0" borderId="41" xfId="0" applyNumberFormat="1" applyFont="1" applyBorder="1" applyAlignment="1" applyProtection="1">
      <alignment horizontal="center" vertical="center"/>
    </xf>
    <xf numFmtId="2" fontId="45" fillId="0" borderId="44" xfId="0" applyNumberFormat="1" applyFont="1" applyBorder="1" applyAlignment="1" applyProtection="1">
      <alignment horizontal="center" vertical="center"/>
    </xf>
    <xf numFmtId="2" fontId="45" fillId="0" borderId="42" xfId="0" applyNumberFormat="1" applyFont="1" applyBorder="1" applyAlignment="1" applyProtection="1">
      <alignment horizontal="center" vertical="center"/>
    </xf>
    <xf numFmtId="2" fontId="45" fillId="0" borderId="45" xfId="0" applyNumberFormat="1" applyFont="1" applyBorder="1" applyAlignment="1" applyProtection="1">
      <alignment horizontal="center" vertical="center"/>
    </xf>
    <xf numFmtId="9" fontId="28" fillId="0" borderId="26" xfId="0" applyNumberFormat="1" applyFont="1" applyBorder="1" applyAlignment="1" applyProtection="1">
      <alignment horizontal="center"/>
    </xf>
    <xf numFmtId="0" fontId="28" fillId="0" borderId="29" xfId="0" applyFont="1" applyBorder="1" applyAlignment="1" applyProtection="1">
      <alignment horizontal="center"/>
    </xf>
    <xf numFmtId="2" fontId="28" fillId="0" borderId="27" xfId="0" applyNumberFormat="1" applyFont="1" applyBorder="1" applyAlignment="1" applyProtection="1">
      <alignment horizontal="right"/>
    </xf>
    <xf numFmtId="2" fontId="28" fillId="0" borderId="30" xfId="0" applyNumberFormat="1" applyFont="1" applyBorder="1" applyAlignment="1" applyProtection="1">
      <alignment horizontal="right"/>
    </xf>
    <xf numFmtId="2" fontId="28" fillId="0" borderId="28" xfId="0" applyNumberFormat="1" applyFont="1" applyBorder="1" applyAlignment="1" applyProtection="1">
      <alignment horizontal="right"/>
    </xf>
    <xf numFmtId="2" fontId="28" fillId="0" borderId="31" xfId="0" applyNumberFormat="1" applyFont="1" applyBorder="1" applyAlignment="1" applyProtection="1">
      <alignment horizontal="right"/>
    </xf>
    <xf numFmtId="9" fontId="28" fillId="0" borderId="29" xfId="0" applyNumberFormat="1" applyFont="1" applyBorder="1" applyAlignment="1" applyProtection="1">
      <alignment horizontal="center"/>
    </xf>
    <xf numFmtId="0" fontId="21" fillId="0" borderId="0" xfId="0" applyFont="1" applyBorder="1" applyAlignment="1" applyProtection="1">
      <alignment horizontal="center" vertical="center"/>
    </xf>
    <xf numFmtId="0" fontId="21" fillId="0" borderId="13" xfId="0" applyFont="1" applyBorder="1" applyAlignment="1" applyProtection="1">
      <alignment horizontal="center" vertical="center"/>
    </xf>
    <xf numFmtId="0" fontId="1" fillId="0" borderId="23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2" fontId="1" fillId="0" borderId="5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wrapText="1"/>
    </xf>
    <xf numFmtId="0" fontId="1" fillId="0" borderId="21" xfId="0" applyFont="1" applyBorder="1" applyAlignment="1">
      <alignment horizontal="center" wrapText="1"/>
    </xf>
    <xf numFmtId="0" fontId="1" fillId="0" borderId="21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wrapText="1"/>
    </xf>
    <xf numFmtId="172" fontId="1" fillId="0" borderId="5" xfId="0" applyNumberFormat="1" applyFont="1" applyBorder="1" applyAlignment="1">
      <alignment horizontal="center" vertical="center"/>
    </xf>
    <xf numFmtId="172" fontId="1" fillId="0" borderId="7" xfId="0" applyNumberFormat="1" applyFont="1" applyBorder="1" applyAlignment="1">
      <alignment horizontal="center" vertical="center"/>
    </xf>
    <xf numFmtId="175" fontId="1" fillId="0" borderId="5" xfId="0" applyNumberFormat="1" applyFont="1" applyBorder="1" applyAlignment="1">
      <alignment horizontal="center" vertical="center"/>
    </xf>
    <xf numFmtId="175" fontId="1" fillId="0" borderId="7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0" borderId="5" xfId="0" applyNumberFormat="1" applyFont="1" applyBorder="1" applyAlignment="1">
      <alignment horizontal="center" vertical="center"/>
    </xf>
    <xf numFmtId="0" fontId="1" fillId="0" borderId="7" xfId="0" applyNumberFormat="1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11" fillId="0" borderId="0" xfId="0" applyFont="1" applyFill="1" applyBorder="1" applyAlignment="1" applyProtection="1">
      <alignment horizontal="center"/>
    </xf>
    <xf numFmtId="0" fontId="12" fillId="0" borderId="0" xfId="0" applyFont="1" applyFill="1" applyBorder="1" applyAlignment="1" applyProtection="1">
      <alignment horizontal="center"/>
    </xf>
    <xf numFmtId="0" fontId="5" fillId="0" borderId="20" xfId="0" applyFont="1" applyFill="1" applyBorder="1" applyAlignment="1" applyProtection="1">
      <alignment horizontal="center"/>
    </xf>
    <xf numFmtId="0" fontId="40" fillId="0" borderId="9" xfId="0" applyFont="1" applyBorder="1" applyAlignment="1" applyProtection="1">
      <alignment horizontal="center" vertical="center"/>
    </xf>
    <xf numFmtId="0" fontId="40" fillId="0" borderId="11" xfId="0" applyFont="1" applyBorder="1" applyAlignment="1" applyProtection="1">
      <alignment horizontal="center" vertical="center"/>
    </xf>
    <xf numFmtId="0" fontId="40" fillId="0" borderId="4" xfId="0" applyFont="1" applyBorder="1" applyAlignment="1" applyProtection="1">
      <alignment horizontal="center" vertical="center"/>
    </xf>
    <xf numFmtId="0" fontId="40" fillId="0" borderId="3" xfId="0" applyFont="1" applyBorder="1" applyAlignment="1" applyProtection="1">
      <alignment horizontal="center" vertical="center"/>
    </xf>
    <xf numFmtId="0" fontId="24" fillId="0" borderId="13" xfId="0" applyFont="1" applyBorder="1" applyAlignment="1" applyProtection="1">
      <alignment horizontal="center"/>
    </xf>
    <xf numFmtId="0" fontId="35" fillId="0" borderId="10" xfId="0" applyFont="1" applyFill="1" applyBorder="1" applyAlignment="1" applyProtection="1">
      <alignment horizontal="center"/>
    </xf>
    <xf numFmtId="0" fontId="35" fillId="0" borderId="0" xfId="0" applyFont="1" applyFill="1" applyBorder="1" applyAlignment="1" applyProtection="1">
      <alignment horizontal="center"/>
    </xf>
    <xf numFmtId="0" fontId="44" fillId="0" borderId="9" xfId="0" applyFont="1" applyFill="1" applyBorder="1" applyAlignment="1" applyProtection="1">
      <alignment horizontal="center"/>
    </xf>
    <xf numFmtId="0" fontId="44" fillId="0" borderId="11" xfId="0" applyFont="1" applyFill="1" applyBorder="1" applyAlignment="1" applyProtection="1">
      <alignment horizontal="center"/>
    </xf>
    <xf numFmtId="0" fontId="44" fillId="0" borderId="4" xfId="0" applyFont="1" applyFill="1" applyBorder="1" applyAlignment="1" applyProtection="1">
      <alignment horizontal="center"/>
    </xf>
    <xf numFmtId="0" fontId="44" fillId="0" borderId="3" xfId="0" applyFont="1" applyFill="1" applyBorder="1" applyAlignment="1" applyProtection="1">
      <alignment horizontal="center"/>
    </xf>
  </cellXfs>
  <cellStyles count="1">
    <cellStyle name="Normal" xfId="0" builtinId="0"/>
  </cellStyles>
  <dxfs count="210"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DD27C7"/>
      <color rgb="FFEAF923"/>
      <color rgb="FFF8F390"/>
      <color rgb="FFE7C3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4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42</xdr:col>
          <xdr:colOff>247650</xdr:colOff>
          <xdr:row>61</xdr:row>
          <xdr:rowOff>104775</xdr:rowOff>
        </xdr:to>
        <xdr:sp macro="" textlink="">
          <xdr:nvSpPr>
            <xdr:cNvPr id="80897" name="CommandButton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0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93531</xdr:colOff>
      <xdr:row>26</xdr:row>
      <xdr:rowOff>56584</xdr:rowOff>
    </xdr:from>
    <xdr:ext cx="6745616" cy="1784912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20319717">
          <a:off x="93531" y="4276159"/>
          <a:ext cx="6745616" cy="1784912"/>
        </a:xfrm>
        <a:prstGeom prst="rect">
          <a:avLst/>
        </a:prstGeom>
        <a:noFill/>
        <a:effectLst>
          <a:outerShdw blurRad="50800" dist="76200" dir="16200000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0000" b="0" i="1" cap="none" spc="0">
              <a:ln w="0"/>
              <a:solidFill>
                <a:schemeClr val="tx1">
                  <a:alpha val="1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NAVEEN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257175</xdr:colOff>
          <xdr:row>2</xdr:row>
          <xdr:rowOff>104775</xdr:rowOff>
        </xdr:from>
        <xdr:to>
          <xdr:col>14</xdr:col>
          <xdr:colOff>390525</xdr:colOff>
          <xdr:row>4</xdr:row>
          <xdr:rowOff>19050</xdr:rowOff>
        </xdr:to>
        <xdr:sp macro="" textlink="">
          <xdr:nvSpPr>
            <xdr:cNvPr id="39937" name="CommandButton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1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219075</xdr:colOff>
          <xdr:row>2</xdr:row>
          <xdr:rowOff>104775</xdr:rowOff>
        </xdr:from>
        <xdr:to>
          <xdr:col>13</xdr:col>
          <xdr:colOff>104775</xdr:colOff>
          <xdr:row>4</xdr:row>
          <xdr:rowOff>19050</xdr:rowOff>
        </xdr:to>
        <xdr:sp macro="" textlink="">
          <xdr:nvSpPr>
            <xdr:cNvPr id="39938" name="CommandButton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1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257175</xdr:colOff>
          <xdr:row>4</xdr:row>
          <xdr:rowOff>57150</xdr:rowOff>
        </xdr:from>
        <xdr:to>
          <xdr:col>14</xdr:col>
          <xdr:colOff>390525</xdr:colOff>
          <xdr:row>5</xdr:row>
          <xdr:rowOff>133350</xdr:rowOff>
        </xdr:to>
        <xdr:sp macro="" textlink="">
          <xdr:nvSpPr>
            <xdr:cNvPr id="39939" name="CommandButton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1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4</xdr:row>
          <xdr:rowOff>57150</xdr:rowOff>
        </xdr:from>
        <xdr:to>
          <xdr:col>13</xdr:col>
          <xdr:colOff>95250</xdr:colOff>
          <xdr:row>5</xdr:row>
          <xdr:rowOff>133350</xdr:rowOff>
        </xdr:to>
        <xdr:sp macro="" textlink="">
          <xdr:nvSpPr>
            <xdr:cNvPr id="39940" name="CommandButton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1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93531</xdr:colOff>
      <xdr:row>26</xdr:row>
      <xdr:rowOff>56584</xdr:rowOff>
    </xdr:from>
    <xdr:ext cx="6745616" cy="1784912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20319717">
          <a:off x="93531" y="4276159"/>
          <a:ext cx="6745616" cy="1784912"/>
        </a:xfrm>
        <a:prstGeom prst="rect">
          <a:avLst/>
        </a:prstGeom>
        <a:noFill/>
        <a:effectLst>
          <a:outerShdw blurRad="50800" dist="76200" dir="16200000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0000" b="0" i="1" cap="none" spc="0">
              <a:ln w="0"/>
              <a:solidFill>
                <a:schemeClr val="tx1">
                  <a:alpha val="1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NAVEEN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257175</xdr:colOff>
          <xdr:row>2</xdr:row>
          <xdr:rowOff>104775</xdr:rowOff>
        </xdr:from>
        <xdr:to>
          <xdr:col>14</xdr:col>
          <xdr:colOff>390525</xdr:colOff>
          <xdr:row>4</xdr:row>
          <xdr:rowOff>19050</xdr:rowOff>
        </xdr:to>
        <xdr:sp macro="" textlink="">
          <xdr:nvSpPr>
            <xdr:cNvPr id="61441" name="CommandButton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219075</xdr:colOff>
          <xdr:row>2</xdr:row>
          <xdr:rowOff>104775</xdr:rowOff>
        </xdr:from>
        <xdr:to>
          <xdr:col>13</xdr:col>
          <xdr:colOff>104775</xdr:colOff>
          <xdr:row>4</xdr:row>
          <xdr:rowOff>19050</xdr:rowOff>
        </xdr:to>
        <xdr:sp macro="" textlink="">
          <xdr:nvSpPr>
            <xdr:cNvPr id="61442" name="CommandButton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2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257175</xdr:colOff>
          <xdr:row>4</xdr:row>
          <xdr:rowOff>57150</xdr:rowOff>
        </xdr:from>
        <xdr:to>
          <xdr:col>14</xdr:col>
          <xdr:colOff>390525</xdr:colOff>
          <xdr:row>5</xdr:row>
          <xdr:rowOff>133350</xdr:rowOff>
        </xdr:to>
        <xdr:sp macro="" textlink="">
          <xdr:nvSpPr>
            <xdr:cNvPr id="61443" name="CommandButton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02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4</xdr:row>
          <xdr:rowOff>57150</xdr:rowOff>
        </xdr:from>
        <xdr:to>
          <xdr:col>13</xdr:col>
          <xdr:colOff>95250</xdr:colOff>
          <xdr:row>5</xdr:row>
          <xdr:rowOff>133350</xdr:rowOff>
        </xdr:to>
        <xdr:sp macro="" textlink="">
          <xdr:nvSpPr>
            <xdr:cNvPr id="61444" name="CommandButton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02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93531</xdr:colOff>
      <xdr:row>26</xdr:row>
      <xdr:rowOff>56584</xdr:rowOff>
    </xdr:from>
    <xdr:ext cx="6745616" cy="1784912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 rot="20319717">
          <a:off x="93531" y="4276159"/>
          <a:ext cx="6745616" cy="1784912"/>
        </a:xfrm>
        <a:prstGeom prst="rect">
          <a:avLst/>
        </a:prstGeom>
        <a:noFill/>
        <a:effectLst>
          <a:outerShdw blurRad="50800" dist="76200" dir="16200000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0000" b="0" i="1" cap="none" spc="0">
              <a:ln w="0"/>
              <a:solidFill>
                <a:schemeClr val="tx1">
                  <a:alpha val="1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NAVEEN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0</xdr:row>
          <xdr:rowOff>95250</xdr:rowOff>
        </xdr:from>
        <xdr:to>
          <xdr:col>3</xdr:col>
          <xdr:colOff>400050</xdr:colOff>
          <xdr:row>1</xdr:row>
          <xdr:rowOff>0</xdr:rowOff>
        </xdr:to>
        <xdr:sp macro="" textlink="">
          <xdr:nvSpPr>
            <xdr:cNvPr id="55297" name="CommandButton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3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95250</xdr:rowOff>
        </xdr:from>
        <xdr:to>
          <xdr:col>3</xdr:col>
          <xdr:colOff>228600</xdr:colOff>
          <xdr:row>1</xdr:row>
          <xdr:rowOff>0</xdr:rowOff>
        </xdr:to>
        <xdr:sp macro="" textlink="">
          <xdr:nvSpPr>
            <xdr:cNvPr id="55298" name="CommandButton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3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9525</xdr:rowOff>
        </xdr:from>
        <xdr:to>
          <xdr:col>3</xdr:col>
          <xdr:colOff>419100</xdr:colOff>
          <xdr:row>1</xdr:row>
          <xdr:rowOff>57150</xdr:rowOff>
        </xdr:to>
        <xdr:sp macro="" textlink="">
          <xdr:nvSpPr>
            <xdr:cNvPr id="55299" name="CommandButton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3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</xdr:row>
          <xdr:rowOff>9525</xdr:rowOff>
        </xdr:from>
        <xdr:to>
          <xdr:col>3</xdr:col>
          <xdr:colOff>247650</xdr:colOff>
          <xdr:row>1</xdr:row>
          <xdr:rowOff>57150</xdr:rowOff>
        </xdr:to>
        <xdr:sp macro="" textlink="">
          <xdr:nvSpPr>
            <xdr:cNvPr id="55300" name="CommandButton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3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93531</xdr:colOff>
      <xdr:row>26</xdr:row>
      <xdr:rowOff>56584</xdr:rowOff>
    </xdr:from>
    <xdr:ext cx="6745616" cy="1784912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rot="20319717">
          <a:off x="93531" y="4276159"/>
          <a:ext cx="6745616" cy="1784912"/>
        </a:xfrm>
        <a:prstGeom prst="rect">
          <a:avLst/>
        </a:prstGeom>
        <a:noFill/>
        <a:effectLst>
          <a:outerShdw blurRad="50800" dist="76200" dir="16200000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0000" b="0" i="1" cap="none" spc="0">
              <a:ln w="0"/>
              <a:solidFill>
                <a:schemeClr val="tx1">
                  <a:alpha val="1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NAVEEN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0</xdr:row>
          <xdr:rowOff>76200</xdr:rowOff>
        </xdr:from>
        <xdr:to>
          <xdr:col>3</xdr:col>
          <xdr:colOff>0</xdr:colOff>
          <xdr:row>0</xdr:row>
          <xdr:rowOff>104775</xdr:rowOff>
        </xdr:to>
        <xdr:sp macro="" textlink="">
          <xdr:nvSpPr>
            <xdr:cNvPr id="56321" name="CommandButton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4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0</xdr:row>
          <xdr:rowOff>76200</xdr:rowOff>
        </xdr:from>
        <xdr:to>
          <xdr:col>3</xdr:col>
          <xdr:colOff>0</xdr:colOff>
          <xdr:row>0</xdr:row>
          <xdr:rowOff>104775</xdr:rowOff>
        </xdr:to>
        <xdr:sp macro="" textlink="">
          <xdr:nvSpPr>
            <xdr:cNvPr id="56322" name="CommandButton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4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0</xdr:row>
          <xdr:rowOff>104775</xdr:rowOff>
        </xdr:from>
        <xdr:to>
          <xdr:col>3</xdr:col>
          <xdr:colOff>0</xdr:colOff>
          <xdr:row>0</xdr:row>
          <xdr:rowOff>133350</xdr:rowOff>
        </xdr:to>
        <xdr:sp macro="" textlink="">
          <xdr:nvSpPr>
            <xdr:cNvPr id="56323" name="CommandButton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4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0</xdr:row>
          <xdr:rowOff>104775</xdr:rowOff>
        </xdr:from>
        <xdr:to>
          <xdr:col>3</xdr:col>
          <xdr:colOff>0</xdr:colOff>
          <xdr:row>0</xdr:row>
          <xdr:rowOff>133350</xdr:rowOff>
        </xdr:to>
        <xdr:sp macro="" textlink="">
          <xdr:nvSpPr>
            <xdr:cNvPr id="56324" name="CommandButton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4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1724025</xdr:colOff>
          <xdr:row>0</xdr:row>
          <xdr:rowOff>57150</xdr:rowOff>
        </xdr:from>
        <xdr:to>
          <xdr:col>2</xdr:col>
          <xdr:colOff>2390775</xdr:colOff>
          <xdr:row>1</xdr:row>
          <xdr:rowOff>152400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57150</xdr:rowOff>
        </xdr:from>
        <xdr:to>
          <xdr:col>2</xdr:col>
          <xdr:colOff>800100</xdr:colOff>
          <xdr:row>1</xdr:row>
          <xdr:rowOff>152400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</xdr:row>
          <xdr:rowOff>104775</xdr:rowOff>
        </xdr:from>
        <xdr:to>
          <xdr:col>2</xdr:col>
          <xdr:colOff>133350</xdr:colOff>
          <xdr:row>2</xdr:row>
          <xdr:rowOff>161925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</xdr:row>
          <xdr:rowOff>104775</xdr:rowOff>
        </xdr:from>
        <xdr:to>
          <xdr:col>1</xdr:col>
          <xdr:colOff>104775</xdr:colOff>
          <xdr:row>2</xdr:row>
          <xdr:rowOff>161925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8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212</xdr:row>
      <xdr:rowOff>0</xdr:rowOff>
    </xdr:from>
    <xdr:to>
      <xdr:col>5</xdr:col>
      <xdr:colOff>9525</xdr:colOff>
      <xdr:row>213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5575" y="40386000"/>
          <a:ext cx="1323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18</xdr:row>
      <xdr:rowOff>0</xdr:rowOff>
    </xdr:from>
    <xdr:to>
      <xdr:col>5</xdr:col>
      <xdr:colOff>0</xdr:colOff>
      <xdr:row>19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5575" y="40386000"/>
          <a:ext cx="1323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1</xdr:row>
          <xdr:rowOff>142875</xdr:rowOff>
        </xdr:from>
        <xdr:to>
          <xdr:col>9</xdr:col>
          <xdr:colOff>276225</xdr:colOff>
          <xdr:row>4</xdr:row>
          <xdr:rowOff>114300</xdr:rowOff>
        </xdr:to>
        <xdr:sp macro="" textlink="">
          <xdr:nvSpPr>
            <xdr:cNvPr id="79874" name="CommandButton1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14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7.emf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5" Type="http://schemas.openxmlformats.org/officeDocument/2006/relationships/image" Target="../media/image8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0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control" Target="../activeX/activeX1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5.xml"/><Relationship Id="rId5" Type="http://schemas.openxmlformats.org/officeDocument/2006/relationships/image" Target="../media/image11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5" Type="http://schemas.openxmlformats.org/officeDocument/2006/relationships/image" Target="../media/image12.emf"/><Relationship Id="rId4" Type="http://schemas.openxmlformats.org/officeDocument/2006/relationships/control" Target="../activeX/activeX1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1.xml"/><Relationship Id="rId5" Type="http://schemas.openxmlformats.org/officeDocument/2006/relationships/image" Target="../media/image14.emf"/><Relationship Id="rId4" Type="http://schemas.openxmlformats.org/officeDocument/2006/relationships/control" Target="../activeX/activeX2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17.emf"/><Relationship Id="rId4" Type="http://schemas.openxmlformats.org/officeDocument/2006/relationships/control" Target="../activeX/activeX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5"/>
  <dimension ref="A1"/>
  <sheetViews>
    <sheetView tabSelected="1" topLeftCell="A8" zoomScale="70" zoomScaleNormal="70" workbookViewId="0">
      <selection activeCell="AE17" sqref="AE17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0897" r:id="rId3" name="CommandButton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42</xdr:col>
                <xdr:colOff>247650</xdr:colOff>
                <xdr:row>61</xdr:row>
                <xdr:rowOff>104775</xdr:rowOff>
              </to>
            </anchor>
          </controlPr>
        </control>
      </mc:Choice>
      <mc:Fallback>
        <control shapeId="80897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>
    <tabColor rgb="FFFFFF00"/>
  </sheetPr>
  <dimension ref="A1:T533"/>
  <sheetViews>
    <sheetView showZeros="0" topLeftCell="A14" zoomScale="157" zoomScaleNormal="70" workbookViewId="0">
      <selection activeCell="J40" sqref="J40"/>
    </sheetView>
  </sheetViews>
  <sheetFormatPr defaultRowHeight="9.75" customHeight="1" x14ac:dyDescent="0.2"/>
  <cols>
    <col min="1" max="1" width="2.7109375" style="5" customWidth="1"/>
    <col min="2" max="2" width="7" style="6" customWidth="1"/>
    <col min="3" max="3" width="7.7109375" style="6" customWidth="1"/>
    <col min="4" max="4" width="19.5703125" style="5" customWidth="1"/>
    <col min="5" max="5" width="9" style="6" customWidth="1"/>
    <col min="6" max="6" width="7.42578125" style="5" customWidth="1"/>
    <col min="7" max="7" width="4.7109375" style="5" customWidth="1"/>
    <col min="8" max="8" width="6.85546875" style="80" customWidth="1"/>
    <col min="9" max="9" width="2.5703125" style="5" customWidth="1"/>
    <col min="10" max="10" width="8.28515625" style="87" customWidth="1"/>
    <col min="11" max="11" width="4.140625" style="83" customWidth="1"/>
    <col min="12" max="12" width="7.140625" style="80" customWidth="1"/>
    <col min="13" max="13" width="4.42578125" style="83" customWidth="1"/>
    <col min="14" max="14" width="7.140625" style="80" customWidth="1"/>
    <col min="15" max="15" width="8.28515625" style="80" customWidth="1"/>
    <col min="16" max="16" width="0.5703125" style="5" customWidth="1"/>
    <col min="17" max="26" width="9.140625" style="5"/>
    <col min="27" max="28" width="12.5703125" style="5" bestFit="1" customWidth="1"/>
    <col min="29" max="16384" width="9.140625" style="5"/>
  </cols>
  <sheetData>
    <row r="1" spans="1:17" ht="11.25" customHeight="1" x14ac:dyDescent="0.25">
      <c r="A1" s="4"/>
      <c r="B1" s="4"/>
      <c r="C1" s="4"/>
      <c r="D1" s="4"/>
      <c r="E1" s="529" t="s">
        <v>55</v>
      </c>
      <c r="F1" s="529"/>
      <c r="G1" s="529"/>
      <c r="H1" s="529"/>
      <c r="I1" s="529"/>
      <c r="J1" s="84"/>
      <c r="K1" s="530" t="s">
        <v>169</v>
      </c>
      <c r="L1" s="530"/>
      <c r="M1" s="530"/>
      <c r="N1" s="530"/>
      <c r="O1" s="530"/>
      <c r="P1" s="4"/>
      <c r="Q1" s="3"/>
    </row>
    <row r="2" spans="1:17" s="3" customFormat="1" ht="12" customHeight="1" x14ac:dyDescent="0.25">
      <c r="A2" s="7"/>
      <c r="B2" s="7"/>
      <c r="C2" s="7"/>
      <c r="D2" s="7"/>
      <c r="E2" s="529"/>
      <c r="F2" s="529"/>
      <c r="G2" s="529"/>
      <c r="H2" s="529"/>
      <c r="I2" s="529"/>
      <c r="J2" s="84"/>
      <c r="K2" s="531"/>
      <c r="L2" s="531"/>
      <c r="M2" s="531"/>
      <c r="N2" s="531"/>
      <c r="O2" s="531"/>
      <c r="P2" s="12"/>
    </row>
    <row r="3" spans="1:17" ht="15" customHeight="1" x14ac:dyDescent="0.2">
      <c r="A3" s="532" t="s">
        <v>335</v>
      </c>
      <c r="B3" s="533"/>
      <c r="C3" s="533"/>
      <c r="D3" s="533"/>
      <c r="E3" s="533"/>
      <c r="F3" s="533"/>
      <c r="G3" s="533"/>
      <c r="H3" s="533"/>
      <c r="I3" s="533"/>
      <c r="J3" s="533"/>
      <c r="K3" s="533"/>
      <c r="L3" s="533"/>
      <c r="M3" s="533"/>
      <c r="N3" s="533"/>
      <c r="O3" s="533"/>
      <c r="P3" s="534"/>
      <c r="Q3" s="3"/>
    </row>
    <row r="4" spans="1:17" ht="11.25" x14ac:dyDescent="0.2">
      <c r="A4" s="535"/>
      <c r="B4" s="536"/>
      <c r="C4" s="536"/>
      <c r="D4" s="536"/>
      <c r="E4" s="536"/>
      <c r="F4" s="536"/>
      <c r="G4" s="536"/>
      <c r="H4" s="536"/>
      <c r="I4" s="536"/>
      <c r="J4" s="536"/>
      <c r="K4" s="536"/>
      <c r="L4" s="536"/>
      <c r="M4" s="536"/>
      <c r="N4" s="536"/>
      <c r="O4" s="536"/>
      <c r="P4" s="537"/>
      <c r="Q4" s="3"/>
    </row>
    <row r="5" spans="1:17" ht="12" x14ac:dyDescent="0.2">
      <c r="A5" s="538" t="s">
        <v>393</v>
      </c>
      <c r="B5" s="539"/>
      <c r="C5" s="539"/>
      <c r="D5" s="539"/>
      <c r="E5" s="539"/>
      <c r="F5" s="539"/>
      <c r="G5" s="539"/>
      <c r="H5" s="539"/>
      <c r="I5" s="539"/>
      <c r="J5" s="539"/>
      <c r="K5" s="539"/>
      <c r="L5" s="539"/>
      <c r="M5" s="539"/>
      <c r="N5" s="539"/>
      <c r="O5" s="539"/>
      <c r="P5" s="540"/>
      <c r="Q5" s="3"/>
    </row>
    <row r="6" spans="1:17" ht="12" x14ac:dyDescent="0.2">
      <c r="A6" s="538" t="s">
        <v>394</v>
      </c>
      <c r="B6" s="539"/>
      <c r="C6" s="539"/>
      <c r="D6" s="539"/>
      <c r="E6" s="539"/>
      <c r="F6" s="539"/>
      <c r="G6" s="539"/>
      <c r="H6" s="539"/>
      <c r="I6" s="539"/>
      <c r="J6" s="539"/>
      <c r="K6" s="539"/>
      <c r="L6" s="539"/>
      <c r="M6" s="539"/>
      <c r="N6" s="539"/>
      <c r="O6" s="539"/>
      <c r="P6" s="540"/>
      <c r="Q6" s="3"/>
    </row>
    <row r="7" spans="1:17" ht="12.75" x14ac:dyDescent="0.2">
      <c r="A7" s="541" t="s">
        <v>395</v>
      </c>
      <c r="B7" s="542"/>
      <c r="C7" s="542"/>
      <c r="D7" s="542"/>
      <c r="E7" s="542"/>
      <c r="F7" s="542"/>
      <c r="G7" s="542"/>
      <c r="H7" s="542"/>
      <c r="I7" s="542"/>
      <c r="J7" s="542"/>
      <c r="K7" s="542"/>
      <c r="L7" s="542"/>
      <c r="M7" s="542"/>
      <c r="N7" s="542"/>
      <c r="O7" s="542"/>
      <c r="P7" s="543"/>
      <c r="Q7" s="3"/>
    </row>
    <row r="8" spans="1:17" ht="5.0999999999999996" customHeight="1" x14ac:dyDescent="0.25">
      <c r="A8" s="20"/>
      <c r="B8" s="21" t="s">
        <v>28</v>
      </c>
      <c r="C8" s="22"/>
      <c r="D8" s="18"/>
      <c r="E8" s="23"/>
      <c r="F8" s="18"/>
      <c r="G8" s="18"/>
      <c r="H8" s="76"/>
      <c r="I8" s="18"/>
      <c r="J8" s="85"/>
      <c r="K8" s="81"/>
      <c r="L8" s="88"/>
      <c r="M8" s="90"/>
      <c r="N8" s="88"/>
      <c r="O8" s="88"/>
      <c r="P8" s="19"/>
      <c r="Q8" s="3"/>
    </row>
    <row r="9" spans="1:17" ht="15.75" x14ac:dyDescent="0.25">
      <c r="A9" s="24"/>
      <c r="B9" s="547" t="s">
        <v>53</v>
      </c>
      <c r="C9" s="547"/>
      <c r="D9" s="547"/>
      <c r="E9" s="107"/>
      <c r="F9" s="108"/>
      <c r="G9" s="108"/>
      <c r="H9" s="109"/>
      <c r="I9" s="108"/>
      <c r="J9" s="86"/>
      <c r="K9" s="548" t="s">
        <v>88</v>
      </c>
      <c r="L9" s="549"/>
      <c r="M9" s="549"/>
      <c r="N9" s="550">
        <v>1933</v>
      </c>
      <c r="O9" s="550"/>
      <c r="P9" s="13"/>
      <c r="Q9" s="3"/>
    </row>
    <row r="10" spans="1:17" ht="5.25" customHeight="1" x14ac:dyDescent="0.2">
      <c r="A10" s="24"/>
      <c r="B10" s="107"/>
      <c r="C10" s="107"/>
      <c r="D10" s="108"/>
      <c r="E10" s="107"/>
      <c r="F10" s="108"/>
      <c r="G10" s="108"/>
      <c r="H10" s="401"/>
      <c r="I10" s="108"/>
      <c r="J10" s="86"/>
      <c r="K10" s="110"/>
      <c r="L10" s="111"/>
      <c r="M10" s="110"/>
      <c r="N10" s="111"/>
      <c r="O10" s="111"/>
      <c r="P10" s="14"/>
      <c r="Q10" s="3"/>
    </row>
    <row r="11" spans="1:17" ht="15" x14ac:dyDescent="0.25">
      <c r="A11" s="24"/>
      <c r="B11" s="545" t="s">
        <v>27</v>
      </c>
      <c r="C11" s="545"/>
      <c r="D11" s="547"/>
      <c r="E11" s="547"/>
      <c r="F11" s="547"/>
      <c r="G11" s="547"/>
      <c r="H11" s="547"/>
      <c r="I11" s="547"/>
      <c r="J11" s="86"/>
      <c r="K11" s="548" t="s">
        <v>89</v>
      </c>
      <c r="L11" s="549"/>
      <c r="M11" s="549"/>
      <c r="N11" s="551"/>
      <c r="O11" s="551"/>
      <c r="P11" s="15"/>
      <c r="Q11" s="3"/>
    </row>
    <row r="12" spans="1:17" ht="15" x14ac:dyDescent="0.25">
      <c r="A12" s="24"/>
      <c r="B12" s="545"/>
      <c r="C12" s="545"/>
      <c r="D12" s="547"/>
      <c r="E12" s="547"/>
      <c r="F12" s="547"/>
      <c r="G12" s="547"/>
      <c r="H12" s="547"/>
      <c r="I12" s="547"/>
      <c r="J12" s="86"/>
      <c r="K12" s="548" t="s">
        <v>90</v>
      </c>
      <c r="L12" s="549"/>
      <c r="M12" s="549"/>
      <c r="N12" s="544"/>
      <c r="O12" s="544"/>
      <c r="P12" s="16"/>
      <c r="Q12" s="3"/>
    </row>
    <row r="13" spans="1:17" ht="15" x14ac:dyDescent="0.25">
      <c r="A13" s="24"/>
      <c r="B13" s="545" t="s">
        <v>43</v>
      </c>
      <c r="C13" s="545"/>
      <c r="D13" s="546"/>
      <c r="E13" s="546"/>
      <c r="F13" s="546"/>
      <c r="G13" s="546"/>
      <c r="H13" s="546"/>
      <c r="I13" s="546"/>
      <c r="J13" s="86"/>
      <c r="K13" s="82"/>
      <c r="L13" s="89"/>
      <c r="M13" s="91"/>
      <c r="N13" s="92"/>
      <c r="O13" s="92"/>
      <c r="P13" s="17"/>
      <c r="Q13" s="3"/>
    </row>
    <row r="14" spans="1:17" ht="14.25" x14ac:dyDescent="0.2">
      <c r="A14" s="24"/>
      <c r="B14" s="545" t="s">
        <v>26</v>
      </c>
      <c r="C14" s="545"/>
      <c r="D14" s="546"/>
      <c r="E14" s="546"/>
      <c r="F14" s="546"/>
      <c r="G14" s="546"/>
      <c r="H14" s="546"/>
      <c r="I14" s="546"/>
      <c r="J14" s="86"/>
      <c r="K14" s="82"/>
      <c r="L14" s="77"/>
      <c r="M14" s="82"/>
      <c r="N14" s="77"/>
      <c r="O14" s="77"/>
      <c r="P14" s="14"/>
      <c r="Q14" s="3"/>
    </row>
    <row r="15" spans="1:17" ht="14.25" x14ac:dyDescent="0.2">
      <c r="A15" s="24"/>
      <c r="B15" s="545" t="s">
        <v>44</v>
      </c>
      <c r="C15" s="545"/>
      <c r="D15" s="546"/>
      <c r="E15" s="546"/>
      <c r="F15" s="546"/>
      <c r="G15" s="546"/>
      <c r="H15" s="546"/>
      <c r="I15" s="546"/>
      <c r="J15" s="86"/>
      <c r="K15" s="82"/>
      <c r="L15" s="77"/>
      <c r="M15" s="82"/>
      <c r="N15" s="77"/>
      <c r="O15" s="77"/>
      <c r="P15" s="14"/>
      <c r="Q15" s="3"/>
    </row>
    <row r="16" spans="1:17" ht="15" x14ac:dyDescent="0.25">
      <c r="A16" s="25"/>
      <c r="B16" s="549" t="s">
        <v>39</v>
      </c>
      <c r="C16" s="549"/>
      <c r="D16" s="552"/>
      <c r="E16" s="552"/>
      <c r="F16" s="552"/>
      <c r="G16" s="552"/>
      <c r="H16" s="552"/>
      <c r="I16" s="552"/>
      <c r="J16" s="86"/>
      <c r="K16" s="82"/>
      <c r="L16" s="77"/>
      <c r="M16" s="82"/>
      <c r="N16" s="77"/>
      <c r="O16" s="77"/>
      <c r="P16" s="14"/>
      <c r="Q16" s="3"/>
    </row>
    <row r="17" spans="1:20" s="95" customFormat="1" ht="12" customHeight="1" x14ac:dyDescent="0.2">
      <c r="A17" s="554" t="s">
        <v>24</v>
      </c>
      <c r="B17" s="554" t="s">
        <v>68</v>
      </c>
      <c r="C17" s="556" t="s">
        <v>2</v>
      </c>
      <c r="D17" s="556"/>
      <c r="E17" s="554" t="s">
        <v>9</v>
      </c>
      <c r="F17" s="554" t="s">
        <v>23</v>
      </c>
      <c r="G17" s="556" t="s">
        <v>3</v>
      </c>
      <c r="H17" s="563" t="s">
        <v>94</v>
      </c>
      <c r="I17" s="556" t="s">
        <v>87</v>
      </c>
      <c r="J17" s="563" t="s">
        <v>7</v>
      </c>
      <c r="K17" s="553" t="s">
        <v>5</v>
      </c>
      <c r="L17" s="553"/>
      <c r="M17" s="553" t="s">
        <v>6</v>
      </c>
      <c r="N17" s="553"/>
      <c r="O17" s="554" t="s">
        <v>19</v>
      </c>
      <c r="P17" s="554"/>
      <c r="Q17" s="94"/>
    </row>
    <row r="18" spans="1:20" s="95" customFormat="1" ht="12" customHeight="1" x14ac:dyDescent="0.2">
      <c r="A18" s="555"/>
      <c r="B18" s="555"/>
      <c r="C18" s="557"/>
      <c r="D18" s="557"/>
      <c r="E18" s="555"/>
      <c r="F18" s="555"/>
      <c r="G18" s="557"/>
      <c r="H18" s="564"/>
      <c r="I18" s="557"/>
      <c r="J18" s="564"/>
      <c r="K18" s="96" t="s">
        <v>51</v>
      </c>
      <c r="L18" s="97" t="s">
        <v>8</v>
      </c>
      <c r="M18" s="96" t="s">
        <v>51</v>
      </c>
      <c r="N18" s="97" t="s">
        <v>8</v>
      </c>
      <c r="O18" s="555"/>
      <c r="P18" s="555"/>
      <c r="Q18" s="94"/>
    </row>
    <row r="19" spans="1:20" s="75" customFormat="1" ht="14.1" customHeight="1" x14ac:dyDescent="0.2">
      <c r="A19" s="98" t="str">
        <f>IF(F19="","",1)</f>
        <v/>
      </c>
      <c r="B19" s="98"/>
      <c r="C19" s="558"/>
      <c r="D19" s="559"/>
      <c r="E19" s="99"/>
      <c r="F19" s="100"/>
      <c r="G19" s="416"/>
      <c r="H19" s="102"/>
      <c r="I19" s="101"/>
      <c r="J19" s="102"/>
      <c r="K19" s="103"/>
      <c r="L19" s="102"/>
      <c r="M19" s="103"/>
      <c r="N19" s="102"/>
      <c r="O19" s="104"/>
      <c r="P19" s="73"/>
      <c r="Q19" s="74"/>
    </row>
    <row r="20" spans="1:20" s="72" customFormat="1" ht="14.1" customHeight="1" x14ac:dyDescent="0.2">
      <c r="A20" s="98" t="str">
        <f>IF(F20="","",2)</f>
        <v/>
      </c>
      <c r="B20" s="98"/>
      <c r="C20" s="560"/>
      <c r="D20" s="561"/>
      <c r="E20" s="99"/>
      <c r="F20" s="100"/>
      <c r="G20" s="416"/>
      <c r="H20" s="102"/>
      <c r="I20" s="105"/>
      <c r="J20" s="102"/>
      <c r="K20" s="103"/>
      <c r="L20" s="102"/>
      <c r="M20" s="103"/>
      <c r="N20" s="102"/>
      <c r="O20" s="106"/>
      <c r="P20" s="73"/>
      <c r="Q20" s="71"/>
    </row>
    <row r="21" spans="1:20" s="72" customFormat="1" ht="14.1" customHeight="1" x14ac:dyDescent="0.2">
      <c r="A21" s="98" t="str">
        <f>IF(F21="","",3)</f>
        <v/>
      </c>
      <c r="B21" s="98"/>
      <c r="C21" s="562"/>
      <c r="D21" s="561"/>
      <c r="E21" s="99"/>
      <c r="F21" s="100"/>
      <c r="G21" s="416"/>
      <c r="H21" s="102"/>
      <c r="I21" s="105"/>
      <c r="J21" s="102"/>
      <c r="K21" s="103"/>
      <c r="L21" s="102"/>
      <c r="M21" s="103"/>
      <c r="N21" s="102"/>
      <c r="O21" s="106"/>
      <c r="P21" s="73"/>
      <c r="Q21" s="71"/>
    </row>
    <row r="22" spans="1:20" s="72" customFormat="1" ht="14.1" customHeight="1" x14ac:dyDescent="0.2">
      <c r="A22" s="98" t="str">
        <f>IF(F22="","",4)</f>
        <v/>
      </c>
      <c r="B22" s="98"/>
      <c r="C22" s="560"/>
      <c r="D22" s="561"/>
      <c r="E22" s="99"/>
      <c r="F22" s="100"/>
      <c r="G22" s="416"/>
      <c r="H22" s="102"/>
      <c r="I22" s="105"/>
      <c r="J22" s="102"/>
      <c r="K22" s="103"/>
      <c r="L22" s="102"/>
      <c r="M22" s="103"/>
      <c r="N22" s="102"/>
      <c r="O22" s="106"/>
      <c r="P22" s="73"/>
      <c r="Q22" s="71"/>
    </row>
    <row r="23" spans="1:20" s="72" customFormat="1" ht="14.1" customHeight="1" x14ac:dyDescent="0.2">
      <c r="A23" s="98" t="str">
        <f>IF(F23="","",5)</f>
        <v/>
      </c>
      <c r="B23" s="98"/>
      <c r="C23" s="560"/>
      <c r="D23" s="561"/>
      <c r="E23" s="99"/>
      <c r="F23" s="100"/>
      <c r="G23" s="416"/>
      <c r="H23" s="102"/>
      <c r="I23" s="105"/>
      <c r="J23" s="102"/>
      <c r="K23" s="103"/>
      <c r="L23" s="102"/>
      <c r="M23" s="103"/>
      <c r="N23" s="102"/>
      <c r="O23" s="106"/>
      <c r="P23" s="73"/>
      <c r="Q23" s="71"/>
    </row>
    <row r="24" spans="1:20" s="72" customFormat="1" ht="14.1" customHeight="1" x14ac:dyDescent="0.2">
      <c r="A24" s="98" t="str">
        <f>IF(F24="","",6)</f>
        <v/>
      </c>
      <c r="B24" s="98"/>
      <c r="C24" s="560"/>
      <c r="D24" s="561"/>
      <c r="E24" s="99"/>
      <c r="F24" s="100"/>
      <c r="G24" s="416"/>
      <c r="H24" s="102"/>
      <c r="I24" s="105"/>
      <c r="J24" s="102"/>
      <c r="K24" s="103"/>
      <c r="L24" s="102"/>
      <c r="M24" s="103"/>
      <c r="N24" s="102"/>
      <c r="O24" s="106"/>
      <c r="P24" s="73"/>
      <c r="Q24" s="71"/>
    </row>
    <row r="25" spans="1:20" s="72" customFormat="1" ht="14.1" customHeight="1" x14ac:dyDescent="0.2">
      <c r="A25" s="98" t="str">
        <f>IF(F25="","",7)</f>
        <v/>
      </c>
      <c r="B25" s="98"/>
      <c r="C25" s="560"/>
      <c r="D25" s="561"/>
      <c r="E25" s="99"/>
      <c r="F25" s="100"/>
      <c r="G25" s="416"/>
      <c r="H25" s="102"/>
      <c r="I25" s="105"/>
      <c r="J25" s="102"/>
      <c r="K25" s="103"/>
      <c r="L25" s="102"/>
      <c r="M25" s="103"/>
      <c r="N25" s="102"/>
      <c r="O25" s="106"/>
      <c r="P25" s="73"/>
      <c r="Q25" s="71"/>
    </row>
    <row r="26" spans="1:20" s="72" customFormat="1" ht="14.1" customHeight="1" x14ac:dyDescent="0.2">
      <c r="A26" s="98" t="str">
        <f>IF(F26="","",8)</f>
        <v/>
      </c>
      <c r="B26" s="98"/>
      <c r="C26" s="560"/>
      <c r="D26" s="561"/>
      <c r="E26" s="99"/>
      <c r="F26" s="100"/>
      <c r="G26" s="416"/>
      <c r="H26" s="102"/>
      <c r="I26" s="105"/>
      <c r="J26" s="102"/>
      <c r="K26" s="103"/>
      <c r="L26" s="102"/>
      <c r="M26" s="103"/>
      <c r="N26" s="102"/>
      <c r="O26" s="106"/>
      <c r="P26" s="73"/>
      <c r="Q26" s="71"/>
    </row>
    <row r="27" spans="1:20" s="72" customFormat="1" ht="14.1" customHeight="1" x14ac:dyDescent="0.2">
      <c r="A27" s="98" t="str">
        <f>IF(F27="","",9)</f>
        <v/>
      </c>
      <c r="B27" s="98"/>
      <c r="C27" s="560"/>
      <c r="D27" s="561"/>
      <c r="E27" s="99"/>
      <c r="F27" s="100"/>
      <c r="G27" s="416"/>
      <c r="H27" s="102"/>
      <c r="I27" s="105"/>
      <c r="J27" s="102"/>
      <c r="K27" s="103"/>
      <c r="L27" s="102"/>
      <c r="M27" s="103"/>
      <c r="N27" s="102"/>
      <c r="O27" s="106"/>
      <c r="P27" s="73"/>
      <c r="Q27" s="71"/>
    </row>
    <row r="28" spans="1:20" s="72" customFormat="1" ht="14.1" customHeight="1" x14ac:dyDescent="0.2">
      <c r="A28" s="98" t="str">
        <f>IF(F28="","",10)</f>
        <v/>
      </c>
      <c r="B28" s="98"/>
      <c r="C28" s="560"/>
      <c r="D28" s="561"/>
      <c r="E28" s="99"/>
      <c r="F28" s="100"/>
      <c r="G28" s="416"/>
      <c r="H28" s="102"/>
      <c r="I28" s="105"/>
      <c r="J28" s="102"/>
      <c r="K28" s="103"/>
      <c r="L28" s="102"/>
      <c r="M28" s="103"/>
      <c r="N28" s="102"/>
      <c r="O28" s="106"/>
      <c r="P28" s="73"/>
      <c r="Q28" s="71"/>
    </row>
    <row r="29" spans="1:20" s="72" customFormat="1" ht="14.1" customHeight="1" x14ac:dyDescent="0.2">
      <c r="A29" s="98" t="str">
        <f>IF(F29="","",11)</f>
        <v/>
      </c>
      <c r="B29" s="98"/>
      <c r="C29" s="560"/>
      <c r="D29" s="561"/>
      <c r="E29" s="99"/>
      <c r="F29" s="100"/>
      <c r="G29" s="416"/>
      <c r="H29" s="102"/>
      <c r="I29" s="105"/>
      <c r="J29" s="102"/>
      <c r="K29" s="103"/>
      <c r="L29" s="102"/>
      <c r="M29" s="103"/>
      <c r="N29" s="102"/>
      <c r="O29" s="106"/>
      <c r="P29" s="73"/>
      <c r="Q29" s="71"/>
    </row>
    <row r="30" spans="1:20" s="72" customFormat="1" ht="14.1" customHeight="1" x14ac:dyDescent="0.2">
      <c r="A30" s="98" t="str">
        <f>IF(F30="","",12)</f>
        <v/>
      </c>
      <c r="B30" s="98"/>
      <c r="C30" s="560"/>
      <c r="D30" s="561"/>
      <c r="E30" s="99"/>
      <c r="F30" s="100"/>
      <c r="G30" s="416"/>
      <c r="H30" s="102"/>
      <c r="I30" s="105"/>
      <c r="J30" s="102"/>
      <c r="K30" s="103"/>
      <c r="L30" s="102"/>
      <c r="M30" s="103"/>
      <c r="N30" s="102"/>
      <c r="O30" s="106"/>
      <c r="P30" s="73"/>
      <c r="Q30" s="71"/>
    </row>
    <row r="31" spans="1:20" s="72" customFormat="1" ht="14.1" customHeight="1" x14ac:dyDescent="0.2">
      <c r="A31" s="321" t="str">
        <f>IF(F31="","",13)</f>
        <v/>
      </c>
      <c r="B31" s="98"/>
      <c r="C31" s="560"/>
      <c r="D31" s="561"/>
      <c r="E31" s="99"/>
      <c r="F31" s="100"/>
      <c r="G31" s="416"/>
      <c r="H31" s="102"/>
      <c r="I31" s="105"/>
      <c r="J31" s="102"/>
      <c r="K31" s="103"/>
      <c r="L31" s="102"/>
      <c r="M31" s="103"/>
      <c r="N31" s="102"/>
      <c r="O31" s="106"/>
      <c r="P31" s="73"/>
      <c r="Q31" s="71"/>
    </row>
    <row r="32" spans="1:20" s="72" customFormat="1" ht="14.1" customHeight="1" x14ac:dyDescent="0.2">
      <c r="A32" s="98" t="str">
        <f>IF(F32="","",14)</f>
        <v/>
      </c>
      <c r="B32" s="98"/>
      <c r="C32" s="560"/>
      <c r="D32" s="561"/>
      <c r="E32" s="99"/>
      <c r="F32" s="100"/>
      <c r="G32" s="416"/>
      <c r="H32" s="102"/>
      <c r="I32" s="105"/>
      <c r="J32" s="102"/>
      <c r="K32" s="103"/>
      <c r="L32" s="102"/>
      <c r="M32" s="103"/>
      <c r="N32" s="102"/>
      <c r="O32" s="106"/>
      <c r="P32" s="73"/>
      <c r="Q32" s="71"/>
      <c r="T32" s="72" t="s">
        <v>50</v>
      </c>
    </row>
    <row r="33" spans="1:17" s="72" customFormat="1" ht="14.1" customHeight="1" x14ac:dyDescent="0.2">
      <c r="A33" s="321" t="str">
        <f>IF(F33="","",15)</f>
        <v/>
      </c>
      <c r="B33" s="98"/>
      <c r="C33" s="560"/>
      <c r="D33" s="561"/>
      <c r="E33" s="99"/>
      <c r="F33" s="100"/>
      <c r="G33" s="416"/>
      <c r="H33" s="102"/>
      <c r="I33" s="105"/>
      <c r="J33" s="102"/>
      <c r="K33" s="103"/>
      <c r="L33" s="102"/>
      <c r="M33" s="103"/>
      <c r="N33" s="102"/>
      <c r="O33" s="106"/>
      <c r="P33" s="73"/>
      <c r="Q33" s="71"/>
    </row>
    <row r="34" spans="1:17" s="72" customFormat="1" ht="14.1" customHeight="1" x14ac:dyDescent="0.2">
      <c r="A34" s="98" t="str">
        <f>IF(F34="","",16)</f>
        <v/>
      </c>
      <c r="B34" s="98"/>
      <c r="C34" s="560"/>
      <c r="D34" s="561"/>
      <c r="E34" s="99"/>
      <c r="F34" s="100"/>
      <c r="G34" s="416"/>
      <c r="H34" s="102"/>
      <c r="I34" s="105"/>
      <c r="J34" s="102"/>
      <c r="K34" s="103"/>
      <c r="L34" s="102"/>
      <c r="M34" s="103"/>
      <c r="N34" s="102"/>
      <c r="O34" s="106"/>
      <c r="P34" s="73"/>
      <c r="Q34" s="71"/>
    </row>
    <row r="35" spans="1:17" s="72" customFormat="1" ht="14.1" customHeight="1" x14ac:dyDescent="0.2">
      <c r="A35" s="98" t="str">
        <f>IF(F35="","",17)</f>
        <v/>
      </c>
      <c r="B35" s="98"/>
      <c r="C35" s="560"/>
      <c r="D35" s="561"/>
      <c r="E35" s="99"/>
      <c r="F35" s="100"/>
      <c r="G35" s="416"/>
      <c r="H35" s="102"/>
      <c r="I35" s="105"/>
      <c r="J35" s="102"/>
      <c r="K35" s="103"/>
      <c r="L35" s="102"/>
      <c r="M35" s="103"/>
      <c r="N35" s="102"/>
      <c r="O35" s="106"/>
      <c r="P35" s="73"/>
      <c r="Q35" s="71"/>
    </row>
    <row r="36" spans="1:17" s="72" customFormat="1" ht="14.1" customHeight="1" x14ac:dyDescent="0.2">
      <c r="A36" s="98" t="str">
        <f>IF(F36="","",18)</f>
        <v/>
      </c>
      <c r="B36" s="98"/>
      <c r="C36" s="560"/>
      <c r="D36" s="561"/>
      <c r="E36" s="99"/>
      <c r="F36" s="100"/>
      <c r="G36" s="416"/>
      <c r="H36" s="102"/>
      <c r="I36" s="105"/>
      <c r="J36" s="102"/>
      <c r="K36" s="103"/>
      <c r="L36" s="102"/>
      <c r="M36" s="103"/>
      <c r="N36" s="102"/>
      <c r="O36" s="106"/>
      <c r="P36" s="73"/>
      <c r="Q36" s="71"/>
    </row>
    <row r="37" spans="1:17" s="72" customFormat="1" ht="14.1" customHeight="1" x14ac:dyDescent="0.2">
      <c r="A37" s="98" t="str">
        <f>IF(F37="","",19)</f>
        <v/>
      </c>
      <c r="B37" s="98"/>
      <c r="C37" s="560"/>
      <c r="D37" s="561"/>
      <c r="E37" s="99"/>
      <c r="F37" s="100"/>
      <c r="G37" s="416"/>
      <c r="H37" s="102"/>
      <c r="I37" s="105"/>
      <c r="J37" s="102"/>
      <c r="K37" s="103"/>
      <c r="L37" s="102"/>
      <c r="M37" s="103"/>
      <c r="N37" s="102"/>
      <c r="O37" s="106"/>
      <c r="P37" s="73"/>
      <c r="Q37" s="71"/>
    </row>
    <row r="38" spans="1:17" s="72" customFormat="1" ht="14.1" customHeight="1" x14ac:dyDescent="0.2">
      <c r="A38" s="98" t="str">
        <f>IF(F38="","",20)</f>
        <v/>
      </c>
      <c r="B38" s="98"/>
      <c r="C38" s="560"/>
      <c r="D38" s="561"/>
      <c r="E38" s="99"/>
      <c r="F38" s="100"/>
      <c r="G38" s="416"/>
      <c r="H38" s="102"/>
      <c r="I38" s="105"/>
      <c r="J38" s="102"/>
      <c r="K38" s="103"/>
      <c r="L38" s="102"/>
      <c r="M38" s="103"/>
      <c r="N38" s="102"/>
      <c r="O38" s="106"/>
      <c r="P38" s="73"/>
      <c r="Q38" s="71"/>
    </row>
    <row r="39" spans="1:17" s="72" customFormat="1" ht="14.1" customHeight="1" x14ac:dyDescent="0.2">
      <c r="A39" s="98" t="str">
        <f>IF(F39="","",21)</f>
        <v/>
      </c>
      <c r="B39" s="98"/>
      <c r="C39" s="560"/>
      <c r="D39" s="561"/>
      <c r="E39" s="99"/>
      <c r="F39" s="100"/>
      <c r="G39" s="416"/>
      <c r="H39" s="102"/>
      <c r="I39" s="105"/>
      <c r="J39" s="102"/>
      <c r="K39" s="103"/>
      <c r="L39" s="102"/>
      <c r="M39" s="103"/>
      <c r="N39" s="102"/>
      <c r="O39" s="106"/>
      <c r="P39" s="73"/>
      <c r="Q39" s="71"/>
    </row>
    <row r="40" spans="1:17" s="72" customFormat="1" ht="14.1" customHeight="1" x14ac:dyDescent="0.2">
      <c r="A40" s="98" t="str">
        <f>IF(F40="","",22)</f>
        <v/>
      </c>
      <c r="B40" s="98"/>
      <c r="C40" s="560"/>
      <c r="D40" s="561"/>
      <c r="E40" s="99"/>
      <c r="F40" s="100"/>
      <c r="G40" s="416"/>
      <c r="H40" s="102"/>
      <c r="I40" s="105"/>
      <c r="J40" s="102"/>
      <c r="K40" s="103"/>
      <c r="L40" s="102"/>
      <c r="M40" s="103"/>
      <c r="N40" s="102"/>
      <c r="O40" s="106"/>
      <c r="P40" s="73"/>
      <c r="Q40" s="71"/>
    </row>
    <row r="41" spans="1:17" s="72" customFormat="1" ht="14.1" customHeight="1" x14ac:dyDescent="0.2">
      <c r="A41" s="98" t="str">
        <f>IF(F41="","",23)</f>
        <v/>
      </c>
      <c r="B41" s="98"/>
      <c r="C41" s="560"/>
      <c r="D41" s="561"/>
      <c r="E41" s="99"/>
      <c r="F41" s="100"/>
      <c r="G41" s="416"/>
      <c r="H41" s="102"/>
      <c r="I41" s="105"/>
      <c r="J41" s="102"/>
      <c r="K41" s="103"/>
      <c r="L41" s="102"/>
      <c r="M41" s="103"/>
      <c r="N41" s="102"/>
      <c r="O41" s="106"/>
      <c r="P41" s="73"/>
      <c r="Q41" s="71"/>
    </row>
    <row r="42" spans="1:17" s="72" customFormat="1" ht="14.1" customHeight="1" x14ac:dyDescent="0.2">
      <c r="A42" s="98" t="str">
        <f>IF(F42="","",24)</f>
        <v/>
      </c>
      <c r="B42" s="98"/>
      <c r="C42" s="560"/>
      <c r="D42" s="561"/>
      <c r="E42" s="99"/>
      <c r="F42" s="100"/>
      <c r="G42" s="416"/>
      <c r="H42" s="102"/>
      <c r="I42" s="105"/>
      <c r="J42" s="102"/>
      <c r="K42" s="103"/>
      <c r="L42" s="102"/>
      <c r="M42" s="103"/>
      <c r="N42" s="102"/>
      <c r="O42" s="106"/>
      <c r="P42" s="73"/>
      <c r="Q42" s="71"/>
    </row>
    <row r="43" spans="1:17" s="72" customFormat="1" ht="14.1" customHeight="1" x14ac:dyDescent="0.2">
      <c r="A43" s="98" t="str">
        <f>IF(F43="","",25)</f>
        <v/>
      </c>
      <c r="B43" s="98"/>
      <c r="C43" s="560"/>
      <c r="D43" s="561"/>
      <c r="E43" s="99"/>
      <c r="F43" s="100"/>
      <c r="G43" s="416"/>
      <c r="H43" s="102"/>
      <c r="I43" s="105"/>
      <c r="J43" s="102"/>
      <c r="K43" s="103"/>
      <c r="L43" s="102"/>
      <c r="M43" s="103"/>
      <c r="N43" s="102"/>
      <c r="O43" s="106"/>
      <c r="P43" s="73"/>
      <c r="Q43" s="71"/>
    </row>
    <row r="44" spans="1:17" ht="12" customHeight="1" x14ac:dyDescent="0.2">
      <c r="A44" s="27"/>
      <c r="B44" s="31"/>
      <c r="C44" s="565"/>
      <c r="D44" s="565"/>
      <c r="E44" s="61"/>
      <c r="F44" s="28"/>
      <c r="G44" s="29"/>
      <c r="H44" s="78"/>
      <c r="I44" s="29"/>
      <c r="J44" s="78"/>
      <c r="K44" s="30"/>
      <c r="L44" s="78"/>
      <c r="M44" s="30"/>
      <c r="N44" s="78"/>
      <c r="O44" s="93"/>
      <c r="P44" s="26"/>
      <c r="Q44" s="3"/>
    </row>
    <row r="45" spans="1:17" s="120" customFormat="1" ht="12.75" customHeight="1" x14ac:dyDescent="0.2">
      <c r="A45" s="566" t="s">
        <v>25</v>
      </c>
      <c r="B45" s="567"/>
      <c r="C45" s="262">
        <f>SUBTOTAL(103,G19:G44)</f>
        <v>0</v>
      </c>
      <c r="D45" s="568" t="s">
        <v>54</v>
      </c>
      <c r="E45" s="568"/>
      <c r="F45" s="569">
        <f>SUBTOTAL(109,F19:F44)</f>
        <v>0</v>
      </c>
      <c r="G45" s="569"/>
      <c r="H45" s="112"/>
      <c r="I45" s="113"/>
      <c r="J45" s="114"/>
      <c r="K45" s="115"/>
      <c r="L45" s="116"/>
      <c r="M45" s="117"/>
      <c r="N45" s="116"/>
      <c r="O45" s="116"/>
      <c r="P45" s="118"/>
      <c r="Q45" s="119"/>
    </row>
    <row r="46" spans="1:17" s="120" customFormat="1" ht="7.5" customHeight="1" x14ac:dyDescent="0.2">
      <c r="A46" s="121"/>
      <c r="B46" s="161"/>
      <c r="C46" s="161"/>
      <c r="D46" s="162"/>
      <c r="E46" s="570" t="s">
        <v>165</v>
      </c>
      <c r="F46" s="572" t="s">
        <v>107</v>
      </c>
      <c r="G46" s="572"/>
      <c r="H46" s="574" t="s">
        <v>167</v>
      </c>
      <c r="I46" s="574"/>
      <c r="J46" s="576" t="s">
        <v>168</v>
      </c>
      <c r="K46" s="578" t="s">
        <v>102</v>
      </c>
      <c r="L46" s="579"/>
      <c r="M46" s="579"/>
      <c r="N46" s="582"/>
      <c r="O46" s="582"/>
      <c r="P46" s="125"/>
      <c r="Q46" s="119"/>
    </row>
    <row r="47" spans="1:17" s="120" customFormat="1" ht="9" customHeight="1" x14ac:dyDescent="0.2">
      <c r="A47" s="121"/>
      <c r="B47" s="542" t="s">
        <v>95</v>
      </c>
      <c r="C47" s="542"/>
      <c r="D47" s="583" t="s">
        <v>398</v>
      </c>
      <c r="E47" s="571"/>
      <c r="F47" s="573"/>
      <c r="G47" s="573"/>
      <c r="H47" s="575"/>
      <c r="I47" s="575"/>
      <c r="J47" s="577"/>
      <c r="K47" s="580"/>
      <c r="L47" s="581"/>
      <c r="M47" s="581"/>
      <c r="N47" s="582"/>
      <c r="O47" s="582"/>
      <c r="P47" s="125"/>
      <c r="Q47" s="119"/>
    </row>
    <row r="48" spans="1:17" s="120" customFormat="1" ht="6.75" customHeight="1" x14ac:dyDescent="0.2">
      <c r="A48" s="121"/>
      <c r="B48" s="542"/>
      <c r="C48" s="542"/>
      <c r="D48" s="583"/>
      <c r="E48" s="584" t="s">
        <v>166</v>
      </c>
      <c r="F48" s="586"/>
      <c r="G48" s="586"/>
      <c r="H48" s="587"/>
      <c r="I48" s="587"/>
      <c r="J48" s="588"/>
      <c r="K48" s="580"/>
      <c r="L48" s="581"/>
      <c r="M48" s="581"/>
      <c r="N48" s="582"/>
      <c r="O48" s="582"/>
      <c r="P48" s="125"/>
      <c r="Q48" s="119"/>
    </row>
    <row r="49" spans="1:17" s="120" customFormat="1" ht="7.5" customHeight="1" x14ac:dyDescent="0.2">
      <c r="A49" s="121"/>
      <c r="B49" s="589" t="s">
        <v>96</v>
      </c>
      <c r="C49" s="589"/>
      <c r="D49" s="590" t="s">
        <v>335</v>
      </c>
      <c r="E49" s="585"/>
      <c r="F49" s="586"/>
      <c r="G49" s="586"/>
      <c r="H49" s="587"/>
      <c r="I49" s="587"/>
      <c r="J49" s="588"/>
      <c r="K49" s="580" t="s">
        <v>101</v>
      </c>
      <c r="L49" s="581"/>
      <c r="M49" s="581"/>
      <c r="N49" s="582"/>
      <c r="O49" s="582"/>
      <c r="P49" s="125"/>
      <c r="Q49" s="119"/>
    </row>
    <row r="50" spans="1:17" s="120" customFormat="1" ht="6" customHeight="1" x14ac:dyDescent="0.2">
      <c r="A50" s="121"/>
      <c r="B50" s="589"/>
      <c r="C50" s="589"/>
      <c r="D50" s="590"/>
      <c r="E50" s="584" t="s">
        <v>162</v>
      </c>
      <c r="F50" s="586"/>
      <c r="G50" s="586"/>
      <c r="H50" s="587"/>
      <c r="I50" s="587"/>
      <c r="J50" s="588"/>
      <c r="K50" s="580"/>
      <c r="L50" s="581"/>
      <c r="M50" s="581"/>
      <c r="N50" s="582"/>
      <c r="O50" s="582"/>
      <c r="P50" s="125"/>
      <c r="Q50" s="119"/>
    </row>
    <row r="51" spans="1:17" s="120" customFormat="1" ht="6.75" customHeight="1" x14ac:dyDescent="0.2">
      <c r="A51" s="121"/>
      <c r="B51" s="589" t="s">
        <v>98</v>
      </c>
      <c r="C51" s="589"/>
      <c r="D51" s="591" t="s">
        <v>396</v>
      </c>
      <c r="E51" s="585"/>
      <c r="F51" s="586"/>
      <c r="G51" s="586"/>
      <c r="H51" s="587"/>
      <c r="I51" s="587"/>
      <c r="J51" s="588"/>
      <c r="K51" s="580"/>
      <c r="L51" s="581"/>
      <c r="M51" s="581"/>
      <c r="N51" s="582"/>
      <c r="O51" s="582"/>
      <c r="P51" s="125"/>
      <c r="Q51" s="119"/>
    </row>
    <row r="52" spans="1:17" s="120" customFormat="1" ht="6" customHeight="1" x14ac:dyDescent="0.2">
      <c r="A52" s="121"/>
      <c r="B52" s="589"/>
      <c r="C52" s="589"/>
      <c r="D52" s="591"/>
      <c r="E52" s="584" t="s">
        <v>163</v>
      </c>
      <c r="F52" s="586"/>
      <c r="G52" s="586"/>
      <c r="H52" s="587"/>
      <c r="I52" s="587"/>
      <c r="J52" s="588"/>
      <c r="K52" s="580" t="s">
        <v>100</v>
      </c>
      <c r="L52" s="581"/>
      <c r="M52" s="581"/>
      <c r="N52" s="582"/>
      <c r="O52" s="582"/>
      <c r="P52" s="125"/>
      <c r="Q52" s="119"/>
    </row>
    <row r="53" spans="1:17" s="120" customFormat="1" ht="6.75" customHeight="1" x14ac:dyDescent="0.2">
      <c r="A53" s="121"/>
      <c r="B53" s="589" t="s">
        <v>97</v>
      </c>
      <c r="C53" s="589"/>
      <c r="D53" s="590" t="s">
        <v>397</v>
      </c>
      <c r="E53" s="585"/>
      <c r="F53" s="586"/>
      <c r="G53" s="586"/>
      <c r="H53" s="587"/>
      <c r="I53" s="587"/>
      <c r="J53" s="588"/>
      <c r="K53" s="580"/>
      <c r="L53" s="581"/>
      <c r="M53" s="581"/>
      <c r="N53" s="582"/>
      <c r="O53" s="582"/>
      <c r="P53" s="125"/>
      <c r="Q53" s="119"/>
    </row>
    <row r="54" spans="1:17" s="120" customFormat="1" ht="6" customHeight="1" x14ac:dyDescent="0.2">
      <c r="A54" s="121"/>
      <c r="B54" s="589"/>
      <c r="C54" s="589"/>
      <c r="D54" s="590"/>
      <c r="E54" s="584" t="s">
        <v>164</v>
      </c>
      <c r="F54" s="586"/>
      <c r="G54" s="586"/>
      <c r="H54" s="587"/>
      <c r="I54" s="587"/>
      <c r="J54" s="588"/>
      <c r="K54" s="580"/>
      <c r="L54" s="581"/>
      <c r="M54" s="581"/>
      <c r="N54" s="582"/>
      <c r="O54" s="582"/>
      <c r="P54" s="125"/>
      <c r="Q54" s="119"/>
    </row>
    <row r="55" spans="1:17" s="120" customFormat="1" ht="6" customHeight="1" x14ac:dyDescent="0.2">
      <c r="A55" s="121"/>
      <c r="B55" s="589" t="s">
        <v>99</v>
      </c>
      <c r="C55" s="589"/>
      <c r="D55" s="590" t="s">
        <v>399</v>
      </c>
      <c r="E55" s="585"/>
      <c r="F55" s="586"/>
      <c r="G55" s="586"/>
      <c r="H55" s="587"/>
      <c r="I55" s="587"/>
      <c r="J55" s="588"/>
      <c r="K55" s="580" t="s">
        <v>91</v>
      </c>
      <c r="L55" s="581"/>
      <c r="M55" s="581"/>
      <c r="N55" s="582"/>
      <c r="O55" s="582"/>
      <c r="P55" s="125"/>
      <c r="Q55" s="119"/>
    </row>
    <row r="56" spans="1:17" s="120" customFormat="1" ht="6.75" customHeight="1" x14ac:dyDescent="0.2">
      <c r="A56" s="121"/>
      <c r="B56" s="589"/>
      <c r="C56" s="589"/>
      <c r="D56" s="590"/>
      <c r="E56" s="216"/>
      <c r="F56" s="126"/>
      <c r="G56" s="122"/>
      <c r="H56" s="123"/>
      <c r="I56" s="122"/>
      <c r="J56" s="124"/>
      <c r="K56" s="580"/>
      <c r="L56" s="581"/>
      <c r="M56" s="581"/>
      <c r="N56" s="582"/>
      <c r="O56" s="582"/>
      <c r="P56" s="125"/>
      <c r="Q56" s="119"/>
    </row>
    <row r="57" spans="1:17" s="120" customFormat="1" ht="9.75" customHeight="1" x14ac:dyDescent="0.2">
      <c r="A57" s="121"/>
      <c r="B57" s="597"/>
      <c r="C57" s="597"/>
      <c r="D57" s="126"/>
      <c r="E57" s="263"/>
      <c r="F57" s="126"/>
      <c r="G57" s="122"/>
      <c r="H57" s="123"/>
      <c r="I57" s="122"/>
      <c r="J57" s="124"/>
      <c r="K57" s="594"/>
      <c r="L57" s="595"/>
      <c r="M57" s="595"/>
      <c r="N57" s="596"/>
      <c r="O57" s="596"/>
      <c r="P57" s="127"/>
      <c r="Q57" s="119"/>
    </row>
    <row r="58" spans="1:17" s="130" customFormat="1" ht="12" customHeight="1" x14ac:dyDescent="0.2">
      <c r="A58" s="128"/>
      <c r="B58" s="598" t="s">
        <v>40</v>
      </c>
      <c r="C58" s="598"/>
      <c r="D58" s="567" t="str">
        <f>IF(N55="","",SpellNumber(N55))</f>
        <v/>
      </c>
      <c r="E58" s="567"/>
      <c r="F58" s="567"/>
      <c r="G58" s="567"/>
      <c r="H58" s="567"/>
      <c r="I58" s="567"/>
      <c r="J58" s="567"/>
      <c r="K58" s="567"/>
      <c r="L58" s="567"/>
      <c r="M58" s="567"/>
      <c r="N58" s="567"/>
      <c r="O58" s="567"/>
      <c r="P58" s="599"/>
      <c r="Q58" s="129"/>
    </row>
    <row r="59" spans="1:17" s="120" customFormat="1" ht="3.75" customHeight="1" x14ac:dyDescent="0.2">
      <c r="A59" s="131"/>
      <c r="B59" s="132"/>
      <c r="C59" s="133"/>
      <c r="D59" s="133"/>
      <c r="E59" s="133"/>
      <c r="F59" s="570" t="s">
        <v>93</v>
      </c>
      <c r="G59" s="572"/>
      <c r="H59" s="572"/>
      <c r="I59" s="572"/>
      <c r="J59" s="600"/>
      <c r="K59" s="570" t="s">
        <v>42</v>
      </c>
      <c r="L59" s="572"/>
      <c r="M59" s="572"/>
      <c r="N59" s="572"/>
      <c r="O59" s="572"/>
      <c r="P59" s="134"/>
      <c r="Q59" s="119"/>
    </row>
    <row r="60" spans="1:17" s="120" customFormat="1" ht="11.25" customHeight="1" x14ac:dyDescent="0.2">
      <c r="A60" s="135"/>
      <c r="F60" s="571"/>
      <c r="G60" s="573"/>
      <c r="H60" s="573"/>
      <c r="I60" s="573"/>
      <c r="J60" s="601"/>
      <c r="K60" s="571"/>
      <c r="L60" s="573"/>
      <c r="M60" s="573"/>
      <c r="N60" s="573"/>
      <c r="O60" s="573"/>
      <c r="P60" s="136"/>
      <c r="Q60" s="119"/>
    </row>
    <row r="61" spans="1:17" s="120" customFormat="1" ht="11.25" customHeight="1" x14ac:dyDescent="0.2">
      <c r="A61" s="135"/>
      <c r="B61" s="592" t="s">
        <v>48</v>
      </c>
      <c r="C61" s="592"/>
      <c r="D61" s="592"/>
      <c r="E61" s="592"/>
      <c r="F61" s="137"/>
      <c r="G61" s="138"/>
      <c r="H61" s="139"/>
      <c r="I61" s="119"/>
      <c r="J61" s="140"/>
      <c r="K61" s="141"/>
      <c r="L61" s="139"/>
      <c r="M61" s="142"/>
      <c r="N61" s="139"/>
      <c r="O61" s="139"/>
      <c r="P61" s="143"/>
      <c r="Q61" s="119"/>
    </row>
    <row r="62" spans="1:17" s="120" customFormat="1" ht="11.25" customHeight="1" x14ac:dyDescent="0.2">
      <c r="A62" s="135" t="s">
        <v>50</v>
      </c>
      <c r="B62" s="583" t="s">
        <v>49</v>
      </c>
      <c r="C62" s="583"/>
      <c r="D62" s="583"/>
      <c r="E62" s="583"/>
      <c r="F62" s="137"/>
      <c r="G62" s="138"/>
      <c r="H62" s="139"/>
      <c r="I62" s="119"/>
      <c r="J62" s="140"/>
      <c r="K62" s="141"/>
      <c r="L62" s="139"/>
      <c r="M62" s="142"/>
      <c r="N62" s="139"/>
      <c r="O62" s="139"/>
      <c r="P62" s="144"/>
      <c r="Q62" s="119"/>
    </row>
    <row r="63" spans="1:17" s="120" customFormat="1" ht="11.25" customHeight="1" x14ac:dyDescent="0.2">
      <c r="A63" s="135"/>
      <c r="B63" s="583" t="s">
        <v>103</v>
      </c>
      <c r="C63" s="583"/>
      <c r="D63" s="583"/>
      <c r="E63" s="583"/>
      <c r="F63" s="137"/>
      <c r="G63" s="138"/>
      <c r="H63" s="145"/>
      <c r="I63" s="94"/>
      <c r="J63" s="146"/>
      <c r="K63" s="141"/>
      <c r="L63" s="139"/>
      <c r="M63" s="142"/>
      <c r="N63" s="139"/>
      <c r="O63" s="139"/>
      <c r="P63" s="147"/>
      <c r="Q63" s="119"/>
    </row>
    <row r="64" spans="1:17" s="120" customFormat="1" ht="11.25" customHeight="1" x14ac:dyDescent="0.2">
      <c r="A64" s="135"/>
      <c r="B64" s="583" t="s">
        <v>92</v>
      </c>
      <c r="C64" s="583"/>
      <c r="D64" s="583"/>
      <c r="E64" s="583"/>
      <c r="F64" s="137"/>
      <c r="G64" s="138"/>
      <c r="H64" s="139"/>
      <c r="I64" s="119"/>
      <c r="J64" s="148"/>
      <c r="K64" s="149"/>
      <c r="L64" s="150"/>
      <c r="M64" s="151"/>
      <c r="N64" s="150"/>
      <c r="O64" s="150"/>
      <c r="P64" s="152"/>
      <c r="Q64" s="119"/>
    </row>
    <row r="65" spans="1:17" s="120" customFormat="1" ht="11.25" customHeight="1" x14ac:dyDescent="0.2">
      <c r="A65" s="153"/>
      <c r="B65" s="583" t="s">
        <v>52</v>
      </c>
      <c r="C65" s="583"/>
      <c r="D65" s="583"/>
      <c r="E65" s="583"/>
      <c r="F65" s="153"/>
      <c r="G65" s="119"/>
      <c r="H65" s="139"/>
      <c r="I65" s="119"/>
      <c r="J65" s="148"/>
      <c r="K65" s="149"/>
      <c r="L65" s="150"/>
      <c r="M65" s="151"/>
      <c r="N65" s="150"/>
      <c r="O65" s="150"/>
      <c r="P65" s="143"/>
      <c r="Q65" s="119"/>
    </row>
    <row r="66" spans="1:17" s="120" customFormat="1" ht="11.25" customHeight="1" x14ac:dyDescent="0.2">
      <c r="A66" s="153"/>
      <c r="B66" s="133"/>
      <c r="C66" s="133"/>
      <c r="D66" s="119"/>
      <c r="E66" s="133"/>
      <c r="F66" s="153"/>
      <c r="G66" s="119"/>
      <c r="H66" s="139"/>
      <c r="I66" s="119"/>
      <c r="J66" s="140"/>
      <c r="K66" s="141"/>
      <c r="L66" s="139"/>
      <c r="M66" s="142"/>
      <c r="N66" s="139"/>
      <c r="O66" s="139"/>
      <c r="P66" s="143"/>
      <c r="Q66" s="119"/>
    </row>
    <row r="67" spans="1:17" s="120" customFormat="1" ht="12.75" customHeight="1" x14ac:dyDescent="0.2">
      <c r="A67" s="154"/>
      <c r="B67" s="155"/>
      <c r="C67" s="155"/>
      <c r="D67" s="156"/>
      <c r="E67" s="155"/>
      <c r="F67" s="158"/>
      <c r="G67" s="159"/>
      <c r="H67" s="116"/>
      <c r="I67" s="593" t="s">
        <v>41</v>
      </c>
      <c r="J67" s="593"/>
      <c r="K67" s="593"/>
      <c r="L67" s="593"/>
      <c r="M67" s="593"/>
      <c r="N67" s="160"/>
      <c r="O67" s="160"/>
      <c r="P67" s="157"/>
      <c r="Q67" s="119"/>
    </row>
    <row r="68" spans="1:17" ht="9.75" customHeight="1" x14ac:dyDescent="0.2">
      <c r="A68" s="3"/>
      <c r="B68" s="261"/>
      <c r="C68" s="261"/>
      <c r="D68" s="3"/>
      <c r="E68" s="261"/>
      <c r="F68" s="3"/>
      <c r="G68" s="3"/>
      <c r="H68" s="79"/>
      <c r="I68" s="3"/>
      <c r="P68" s="3"/>
      <c r="Q68" s="3"/>
    </row>
    <row r="69" spans="1:17" ht="9.75" customHeight="1" x14ac:dyDescent="0.2">
      <c r="B69" s="5"/>
      <c r="C69" s="5"/>
      <c r="E69" s="5"/>
      <c r="H69" s="5"/>
      <c r="J69" s="5"/>
      <c r="K69" s="5"/>
      <c r="L69" s="5"/>
      <c r="M69" s="5"/>
      <c r="N69" s="5"/>
      <c r="O69" s="5"/>
    </row>
    <row r="70" spans="1:17" ht="9.75" customHeight="1" x14ac:dyDescent="0.2">
      <c r="B70" s="5"/>
      <c r="C70" s="5"/>
      <c r="E70" s="5"/>
      <c r="H70" s="5"/>
      <c r="J70" s="5"/>
      <c r="K70" s="5"/>
      <c r="L70" s="5"/>
      <c r="M70" s="5"/>
      <c r="N70" s="5"/>
      <c r="O70" s="5"/>
    </row>
    <row r="71" spans="1:17" ht="9.75" customHeight="1" x14ac:dyDescent="0.2">
      <c r="B71" s="5"/>
      <c r="C71" s="5"/>
      <c r="E71" s="5"/>
      <c r="H71" s="5"/>
      <c r="J71" s="5"/>
      <c r="K71" s="5"/>
      <c r="L71" s="5"/>
      <c r="M71" s="5"/>
      <c r="N71" s="5"/>
      <c r="O71" s="5"/>
    </row>
    <row r="72" spans="1:17" ht="9.75" customHeight="1" x14ac:dyDescent="0.2">
      <c r="B72" s="5"/>
      <c r="C72" s="5"/>
      <c r="E72" s="5"/>
      <c r="H72" s="5"/>
      <c r="J72" s="5"/>
      <c r="K72" s="5"/>
      <c r="L72" s="5"/>
      <c r="M72" s="5"/>
      <c r="N72" s="5"/>
      <c r="O72" s="5"/>
    </row>
    <row r="73" spans="1:17" ht="9.75" customHeight="1" x14ac:dyDescent="0.2">
      <c r="B73" s="5"/>
      <c r="C73" s="5"/>
      <c r="E73" s="5"/>
      <c r="H73" s="5"/>
      <c r="J73" s="5"/>
      <c r="K73" s="5"/>
      <c r="L73" s="5"/>
      <c r="M73" s="5"/>
      <c r="N73" s="5"/>
      <c r="O73" s="5"/>
    </row>
    <row r="74" spans="1:17" ht="9.75" customHeight="1" x14ac:dyDescent="0.2">
      <c r="B74" s="5"/>
      <c r="C74" s="5"/>
      <c r="E74" s="5"/>
      <c r="H74" s="5"/>
      <c r="J74" s="5"/>
      <c r="K74" s="5"/>
      <c r="L74" s="5"/>
      <c r="M74" s="5"/>
      <c r="N74" s="5"/>
      <c r="O74" s="5"/>
    </row>
    <row r="75" spans="1:17" ht="9.75" customHeight="1" x14ac:dyDescent="0.2">
      <c r="B75" s="5"/>
      <c r="C75" s="5"/>
      <c r="E75" s="5"/>
      <c r="H75" s="5"/>
      <c r="J75" s="5"/>
      <c r="K75" s="5"/>
      <c r="L75" s="5"/>
      <c r="M75" s="5"/>
      <c r="N75" s="5"/>
      <c r="O75" s="5"/>
    </row>
    <row r="76" spans="1:17" ht="9.75" customHeight="1" x14ac:dyDescent="0.2">
      <c r="B76" s="5"/>
      <c r="C76" s="5"/>
      <c r="E76" s="5"/>
      <c r="H76" s="5"/>
      <c r="J76" s="5"/>
      <c r="K76" s="5"/>
      <c r="L76" s="5"/>
      <c r="M76" s="5"/>
      <c r="N76" s="5"/>
      <c r="O76" s="5"/>
    </row>
    <row r="77" spans="1:17" ht="9.75" customHeight="1" x14ac:dyDescent="0.2">
      <c r="B77" s="5"/>
      <c r="C77" s="5"/>
      <c r="E77" s="5"/>
      <c r="H77" s="5"/>
      <c r="J77" s="5"/>
      <c r="K77" s="5"/>
      <c r="L77" s="5"/>
      <c r="M77" s="5"/>
      <c r="N77" s="5"/>
      <c r="O77" s="5"/>
    </row>
    <row r="78" spans="1:17" ht="9.75" customHeight="1" x14ac:dyDescent="0.2">
      <c r="B78" s="5"/>
      <c r="C78" s="5"/>
      <c r="E78" s="5"/>
      <c r="H78" s="5"/>
      <c r="J78" s="5"/>
      <c r="K78" s="5"/>
      <c r="L78" s="5"/>
      <c r="M78" s="5"/>
      <c r="N78" s="5"/>
      <c r="O78" s="5"/>
    </row>
    <row r="79" spans="1:17" ht="9.75" customHeight="1" x14ac:dyDescent="0.2">
      <c r="B79" s="5"/>
      <c r="C79" s="5"/>
      <c r="E79" s="5"/>
      <c r="H79" s="5"/>
      <c r="J79" s="5"/>
      <c r="K79" s="5"/>
      <c r="L79" s="5"/>
      <c r="M79" s="5"/>
      <c r="N79" s="5"/>
      <c r="O79" s="5"/>
    </row>
    <row r="80" spans="1:17" ht="9.75" customHeight="1" x14ac:dyDescent="0.2">
      <c r="B80" s="5"/>
      <c r="C80" s="5"/>
      <c r="E80" s="5"/>
      <c r="H80" s="5"/>
      <c r="J80" s="5"/>
      <c r="K80" s="5"/>
      <c r="L80" s="5"/>
      <c r="M80" s="5"/>
      <c r="N80" s="5"/>
      <c r="O80" s="5"/>
    </row>
    <row r="81" spans="2:15" ht="9.75" customHeight="1" x14ac:dyDescent="0.2">
      <c r="B81" s="5"/>
      <c r="C81" s="5"/>
      <c r="E81" s="5"/>
      <c r="H81" s="5"/>
      <c r="J81" s="5"/>
      <c r="K81" s="5"/>
      <c r="L81" s="5"/>
      <c r="M81" s="5"/>
      <c r="N81" s="5"/>
      <c r="O81" s="5"/>
    </row>
    <row r="82" spans="2:15" ht="9.75" customHeight="1" x14ac:dyDescent="0.2">
      <c r="B82" s="5"/>
      <c r="C82" s="5"/>
      <c r="E82" s="5"/>
      <c r="H82" s="5"/>
      <c r="J82" s="5"/>
      <c r="K82" s="5"/>
      <c r="L82" s="5"/>
      <c r="M82" s="5"/>
      <c r="N82" s="5"/>
      <c r="O82" s="5"/>
    </row>
    <row r="83" spans="2:15" ht="9.75" customHeight="1" x14ac:dyDescent="0.2">
      <c r="B83" s="5"/>
      <c r="C83" s="5"/>
      <c r="E83" s="5"/>
      <c r="H83" s="5"/>
      <c r="J83" s="5"/>
      <c r="K83" s="5"/>
      <c r="L83" s="5"/>
      <c r="M83" s="5"/>
      <c r="N83" s="5"/>
      <c r="O83" s="5"/>
    </row>
    <row r="84" spans="2:15" ht="9.75" customHeight="1" x14ac:dyDescent="0.2">
      <c r="B84" s="5"/>
      <c r="C84" s="5"/>
      <c r="E84" s="5"/>
      <c r="H84" s="5"/>
      <c r="J84" s="5"/>
      <c r="K84" s="5"/>
      <c r="L84" s="5"/>
      <c r="M84" s="5"/>
      <c r="N84" s="5"/>
      <c r="O84" s="5"/>
    </row>
    <row r="85" spans="2:15" ht="9.75" customHeight="1" x14ac:dyDescent="0.2">
      <c r="B85" s="5"/>
      <c r="C85" s="5"/>
      <c r="E85" s="5"/>
      <c r="H85" s="5"/>
      <c r="J85" s="5"/>
      <c r="K85" s="5"/>
      <c r="L85" s="5"/>
      <c r="M85" s="5"/>
      <c r="N85" s="5"/>
      <c r="O85" s="5"/>
    </row>
    <row r="86" spans="2:15" ht="9.75" customHeight="1" x14ac:dyDescent="0.2">
      <c r="B86" s="5"/>
      <c r="C86" s="5"/>
      <c r="E86" s="5"/>
      <c r="H86" s="5"/>
      <c r="J86" s="5"/>
      <c r="K86" s="5"/>
      <c r="L86" s="5"/>
      <c r="M86" s="5"/>
      <c r="N86" s="5"/>
      <c r="O86" s="5"/>
    </row>
    <row r="87" spans="2:15" ht="9.75" customHeight="1" x14ac:dyDescent="0.2">
      <c r="B87" s="5"/>
      <c r="C87" s="5"/>
      <c r="E87" s="5"/>
      <c r="H87" s="5"/>
      <c r="J87" s="5"/>
      <c r="K87" s="5"/>
      <c r="L87" s="5"/>
      <c r="M87" s="5"/>
      <c r="N87" s="5"/>
      <c r="O87" s="5"/>
    </row>
    <row r="88" spans="2:15" ht="9.75" customHeight="1" x14ac:dyDescent="0.2">
      <c r="B88" s="5"/>
      <c r="C88" s="5"/>
      <c r="E88" s="5"/>
      <c r="H88" s="5"/>
      <c r="J88" s="5"/>
      <c r="K88" s="5"/>
      <c r="L88" s="5"/>
      <c r="M88" s="5"/>
      <c r="N88" s="5"/>
      <c r="O88" s="5"/>
    </row>
    <row r="89" spans="2:15" ht="9.75" customHeight="1" x14ac:dyDescent="0.2">
      <c r="B89" s="5"/>
      <c r="C89" s="5"/>
      <c r="E89" s="5"/>
      <c r="H89" s="5"/>
      <c r="J89" s="5"/>
      <c r="K89" s="5"/>
      <c r="L89" s="5"/>
      <c r="M89" s="5"/>
      <c r="N89" s="5"/>
      <c r="O89" s="5"/>
    </row>
    <row r="90" spans="2:15" ht="9.75" customHeight="1" x14ac:dyDescent="0.2">
      <c r="B90" s="5"/>
      <c r="C90" s="5"/>
      <c r="E90" s="5"/>
      <c r="H90" s="5"/>
      <c r="J90" s="5"/>
      <c r="K90" s="5"/>
      <c r="L90" s="5"/>
      <c r="M90" s="5"/>
      <c r="N90" s="5"/>
      <c r="O90" s="5"/>
    </row>
    <row r="91" spans="2:15" ht="9.75" customHeight="1" x14ac:dyDescent="0.2">
      <c r="B91" s="5"/>
      <c r="C91" s="5"/>
      <c r="E91" s="5"/>
      <c r="H91" s="5"/>
      <c r="J91" s="5"/>
      <c r="K91" s="5"/>
      <c r="L91" s="5"/>
      <c r="M91" s="5"/>
      <c r="N91" s="5"/>
      <c r="O91" s="5"/>
    </row>
    <row r="92" spans="2:15" ht="9.75" customHeight="1" x14ac:dyDescent="0.2">
      <c r="B92" s="5"/>
      <c r="C92" s="5"/>
      <c r="E92" s="5"/>
      <c r="H92" s="5"/>
      <c r="J92" s="5"/>
      <c r="K92" s="5"/>
      <c r="L92" s="5"/>
      <c r="M92" s="5"/>
      <c r="N92" s="5"/>
      <c r="O92" s="5"/>
    </row>
    <row r="93" spans="2:15" ht="9.75" customHeight="1" x14ac:dyDescent="0.2">
      <c r="B93" s="5"/>
      <c r="C93" s="5"/>
      <c r="E93" s="5"/>
      <c r="H93" s="5"/>
      <c r="J93" s="5"/>
      <c r="K93" s="5"/>
      <c r="L93" s="5"/>
      <c r="M93" s="5"/>
      <c r="N93" s="5"/>
      <c r="O93" s="5"/>
    </row>
    <row r="94" spans="2:15" ht="9.75" customHeight="1" x14ac:dyDescent="0.2">
      <c r="B94" s="5"/>
      <c r="C94" s="5"/>
      <c r="E94" s="5"/>
      <c r="H94" s="5"/>
      <c r="J94" s="5"/>
      <c r="K94" s="5"/>
      <c r="L94" s="5"/>
      <c r="M94" s="5"/>
      <c r="N94" s="5"/>
      <c r="O94" s="5"/>
    </row>
    <row r="95" spans="2:15" ht="9.75" customHeight="1" x14ac:dyDescent="0.2">
      <c r="B95" s="5"/>
      <c r="C95" s="5"/>
      <c r="E95" s="5"/>
      <c r="H95" s="5"/>
      <c r="J95" s="5"/>
      <c r="K95" s="5"/>
      <c r="L95" s="5"/>
      <c r="M95" s="5"/>
      <c r="N95" s="5"/>
      <c r="O95" s="5"/>
    </row>
    <row r="96" spans="2:15" ht="9.75" customHeight="1" x14ac:dyDescent="0.2">
      <c r="B96" s="5"/>
      <c r="C96" s="5"/>
      <c r="E96" s="5"/>
      <c r="H96" s="5"/>
      <c r="J96" s="5"/>
      <c r="K96" s="5"/>
      <c r="L96" s="5"/>
      <c r="M96" s="5"/>
      <c r="N96" s="5"/>
      <c r="O96" s="5"/>
    </row>
    <row r="97" spans="2:15" ht="9.75" customHeight="1" x14ac:dyDescent="0.2">
      <c r="B97" s="5"/>
      <c r="C97" s="5"/>
      <c r="E97" s="5"/>
      <c r="H97" s="5"/>
      <c r="J97" s="5"/>
      <c r="K97" s="5"/>
      <c r="L97" s="5"/>
      <c r="M97" s="5"/>
      <c r="N97" s="5"/>
      <c r="O97" s="5"/>
    </row>
    <row r="98" spans="2:15" ht="9.75" customHeight="1" x14ac:dyDescent="0.2">
      <c r="B98" s="5"/>
      <c r="C98" s="5"/>
      <c r="E98" s="5"/>
      <c r="H98" s="5"/>
      <c r="J98" s="5"/>
      <c r="K98" s="5"/>
      <c r="L98" s="5"/>
      <c r="M98" s="5"/>
      <c r="N98" s="5"/>
      <c r="O98" s="5"/>
    </row>
    <row r="99" spans="2:15" ht="9.75" customHeight="1" x14ac:dyDescent="0.2">
      <c r="B99" s="5"/>
      <c r="C99" s="5"/>
      <c r="E99" s="5"/>
      <c r="H99" s="5"/>
      <c r="J99" s="5"/>
      <c r="K99" s="5"/>
      <c r="L99" s="5"/>
      <c r="M99" s="5"/>
      <c r="N99" s="5"/>
      <c r="O99" s="5"/>
    </row>
    <row r="100" spans="2:15" ht="9.75" customHeight="1" x14ac:dyDescent="0.2">
      <c r="B100" s="5"/>
      <c r="C100" s="5"/>
      <c r="E100" s="5"/>
      <c r="H100" s="5"/>
      <c r="J100" s="5"/>
      <c r="K100" s="5"/>
      <c r="L100" s="5"/>
      <c r="M100" s="5"/>
      <c r="N100" s="5"/>
      <c r="O100" s="5"/>
    </row>
    <row r="101" spans="2:15" ht="9.75" customHeight="1" x14ac:dyDescent="0.2">
      <c r="B101" s="5"/>
      <c r="C101" s="5"/>
      <c r="E101" s="5"/>
      <c r="H101" s="5"/>
      <c r="J101" s="5"/>
      <c r="K101" s="5"/>
      <c r="L101" s="5"/>
      <c r="M101" s="5"/>
      <c r="N101" s="5"/>
      <c r="O101" s="5"/>
    </row>
    <row r="102" spans="2:15" ht="9.75" customHeight="1" x14ac:dyDescent="0.2">
      <c r="B102" s="5"/>
      <c r="C102" s="5"/>
      <c r="E102" s="5"/>
      <c r="H102" s="5"/>
      <c r="J102" s="5"/>
      <c r="K102" s="5"/>
      <c r="L102" s="5"/>
      <c r="M102" s="5"/>
      <c r="N102" s="5"/>
      <c r="O102" s="5"/>
    </row>
    <row r="103" spans="2:15" ht="9.75" customHeight="1" x14ac:dyDescent="0.2">
      <c r="B103" s="5"/>
      <c r="C103" s="5"/>
      <c r="E103" s="5"/>
      <c r="H103" s="5"/>
      <c r="J103" s="5"/>
      <c r="K103" s="5"/>
      <c r="L103" s="5"/>
      <c r="M103" s="5"/>
      <c r="N103" s="5"/>
      <c r="O103" s="5"/>
    </row>
    <row r="104" spans="2:15" ht="9.75" customHeight="1" x14ac:dyDescent="0.2">
      <c r="B104" s="5"/>
      <c r="C104" s="5"/>
      <c r="E104" s="5"/>
      <c r="H104" s="5"/>
      <c r="J104" s="5"/>
      <c r="K104" s="5"/>
      <c r="L104" s="5"/>
      <c r="M104" s="5"/>
      <c r="N104" s="5"/>
      <c r="O104" s="5"/>
    </row>
    <row r="105" spans="2:15" ht="9.75" customHeight="1" x14ac:dyDescent="0.2">
      <c r="B105" s="5"/>
      <c r="C105" s="5"/>
      <c r="E105" s="5"/>
      <c r="H105" s="5"/>
      <c r="J105" s="5"/>
      <c r="K105" s="5"/>
      <c r="L105" s="5"/>
      <c r="M105" s="5"/>
      <c r="N105" s="5"/>
      <c r="O105" s="5"/>
    </row>
    <row r="106" spans="2:15" ht="9.75" customHeight="1" x14ac:dyDescent="0.2">
      <c r="B106" s="5"/>
      <c r="C106" s="5"/>
      <c r="E106" s="5"/>
      <c r="H106" s="5"/>
      <c r="J106" s="5"/>
      <c r="K106" s="5"/>
      <c r="L106" s="5"/>
      <c r="M106" s="5"/>
      <c r="N106" s="5"/>
      <c r="O106" s="5"/>
    </row>
    <row r="107" spans="2:15" ht="9.75" customHeight="1" x14ac:dyDescent="0.2">
      <c r="B107" s="5"/>
      <c r="C107" s="5"/>
      <c r="E107" s="5"/>
      <c r="H107" s="5"/>
      <c r="J107" s="5"/>
      <c r="K107" s="5"/>
      <c r="L107" s="5"/>
      <c r="M107" s="5"/>
      <c r="N107" s="5"/>
      <c r="O107" s="5"/>
    </row>
    <row r="108" spans="2:15" ht="9.75" customHeight="1" x14ac:dyDescent="0.2">
      <c r="B108" s="5"/>
      <c r="C108" s="5"/>
      <c r="E108" s="5"/>
      <c r="H108" s="5"/>
      <c r="J108" s="5"/>
      <c r="K108" s="5"/>
      <c r="L108" s="5"/>
      <c r="M108" s="5"/>
      <c r="N108" s="5"/>
      <c r="O108" s="5"/>
    </row>
    <row r="109" spans="2:15" ht="9.75" customHeight="1" x14ac:dyDescent="0.2">
      <c r="B109" s="5"/>
      <c r="C109" s="5"/>
      <c r="E109" s="5"/>
      <c r="H109" s="5"/>
      <c r="J109" s="5"/>
      <c r="K109" s="5"/>
      <c r="L109" s="5"/>
      <c r="M109" s="5"/>
      <c r="N109" s="5"/>
      <c r="O109" s="5"/>
    </row>
    <row r="110" spans="2:15" ht="9.75" customHeight="1" x14ac:dyDescent="0.2">
      <c r="B110" s="5"/>
      <c r="C110" s="5"/>
      <c r="E110" s="5"/>
      <c r="H110" s="5"/>
      <c r="J110" s="5"/>
      <c r="K110" s="5"/>
      <c r="L110" s="5"/>
      <c r="M110" s="5"/>
      <c r="N110" s="5"/>
      <c r="O110" s="5"/>
    </row>
    <row r="111" spans="2:15" ht="9.75" customHeight="1" x14ac:dyDescent="0.2">
      <c r="B111" s="5"/>
      <c r="C111" s="5"/>
      <c r="E111" s="5"/>
      <c r="H111" s="5"/>
      <c r="J111" s="5"/>
      <c r="K111" s="5"/>
      <c r="L111" s="5"/>
      <c r="M111" s="5"/>
      <c r="N111" s="5"/>
      <c r="O111" s="5"/>
    </row>
    <row r="112" spans="2:15" ht="9.75" customHeight="1" x14ac:dyDescent="0.2">
      <c r="B112" s="5"/>
      <c r="C112" s="5"/>
      <c r="E112" s="5"/>
      <c r="H112" s="5"/>
      <c r="J112" s="5"/>
      <c r="K112" s="5"/>
      <c r="L112" s="5"/>
      <c r="M112" s="5"/>
      <c r="N112" s="5"/>
      <c r="O112" s="5"/>
    </row>
    <row r="113" spans="2:15" ht="9.75" customHeight="1" x14ac:dyDescent="0.2">
      <c r="B113" s="5"/>
      <c r="C113" s="5"/>
      <c r="E113" s="5"/>
      <c r="H113" s="5"/>
      <c r="J113" s="5"/>
      <c r="K113" s="5"/>
      <c r="L113" s="5"/>
      <c r="M113" s="5"/>
      <c r="N113" s="5"/>
      <c r="O113" s="5"/>
    </row>
    <row r="114" spans="2:15" ht="9.75" customHeight="1" x14ac:dyDescent="0.2">
      <c r="B114" s="5"/>
      <c r="C114" s="5"/>
      <c r="E114" s="5"/>
      <c r="H114" s="5"/>
      <c r="J114" s="5"/>
      <c r="K114" s="5"/>
      <c r="L114" s="5"/>
      <c r="M114" s="5"/>
      <c r="N114" s="5"/>
      <c r="O114" s="5"/>
    </row>
    <row r="115" spans="2:15" ht="9.75" customHeight="1" x14ac:dyDescent="0.2">
      <c r="B115" s="5"/>
      <c r="C115" s="5"/>
      <c r="E115" s="5"/>
      <c r="H115" s="5"/>
      <c r="J115" s="5"/>
      <c r="K115" s="5"/>
      <c r="L115" s="5"/>
      <c r="M115" s="5"/>
      <c r="N115" s="5"/>
      <c r="O115" s="5"/>
    </row>
    <row r="116" spans="2:15" ht="9.75" customHeight="1" x14ac:dyDescent="0.2">
      <c r="B116" s="5"/>
      <c r="C116" s="5"/>
      <c r="E116" s="5"/>
      <c r="H116" s="5"/>
      <c r="J116" s="5"/>
      <c r="K116" s="5"/>
      <c r="L116" s="5"/>
      <c r="M116" s="5"/>
      <c r="N116" s="5"/>
      <c r="O116" s="5"/>
    </row>
    <row r="117" spans="2:15" ht="9.75" customHeight="1" x14ac:dyDescent="0.2">
      <c r="B117" s="5"/>
      <c r="C117" s="5"/>
      <c r="E117" s="5"/>
      <c r="H117" s="5"/>
      <c r="J117" s="5"/>
      <c r="K117" s="5"/>
      <c r="L117" s="5"/>
      <c r="M117" s="5"/>
      <c r="N117" s="5"/>
      <c r="O117" s="5"/>
    </row>
    <row r="118" spans="2:15" ht="9.75" customHeight="1" x14ac:dyDescent="0.2">
      <c r="B118" s="5"/>
      <c r="C118" s="5"/>
      <c r="E118" s="5"/>
      <c r="H118" s="5"/>
      <c r="J118" s="5"/>
      <c r="K118" s="5"/>
      <c r="L118" s="5"/>
      <c r="M118" s="5"/>
      <c r="N118" s="5"/>
      <c r="O118" s="5"/>
    </row>
    <row r="119" spans="2:15" ht="9.75" customHeight="1" x14ac:dyDescent="0.2">
      <c r="B119" s="5"/>
      <c r="C119" s="5"/>
      <c r="E119" s="5"/>
      <c r="H119" s="5"/>
      <c r="J119" s="5"/>
      <c r="K119" s="5"/>
      <c r="L119" s="5"/>
      <c r="M119" s="5"/>
      <c r="N119" s="5"/>
      <c r="O119" s="5"/>
    </row>
    <row r="120" spans="2:15" ht="9.75" customHeight="1" x14ac:dyDescent="0.2">
      <c r="B120" s="5"/>
      <c r="C120" s="5"/>
      <c r="E120" s="5"/>
      <c r="H120" s="5"/>
      <c r="J120" s="5"/>
      <c r="K120" s="5"/>
      <c r="L120" s="5"/>
      <c r="M120" s="5"/>
      <c r="N120" s="5"/>
      <c r="O120" s="5"/>
    </row>
    <row r="121" spans="2:15" ht="9.75" customHeight="1" x14ac:dyDescent="0.2">
      <c r="B121" s="5"/>
      <c r="C121" s="5"/>
      <c r="E121" s="5"/>
      <c r="H121" s="5"/>
      <c r="J121" s="5"/>
      <c r="K121" s="5"/>
      <c r="L121" s="5"/>
      <c r="M121" s="5"/>
      <c r="N121" s="5"/>
      <c r="O121" s="5"/>
    </row>
    <row r="122" spans="2:15" ht="9.75" customHeight="1" x14ac:dyDescent="0.2">
      <c r="B122" s="5"/>
      <c r="C122" s="5"/>
      <c r="E122" s="5"/>
      <c r="H122" s="5"/>
      <c r="J122" s="5"/>
      <c r="K122" s="5"/>
      <c r="L122" s="5"/>
      <c r="M122" s="5"/>
      <c r="N122" s="5"/>
      <c r="O122" s="5"/>
    </row>
    <row r="123" spans="2:15" ht="9.75" customHeight="1" x14ac:dyDescent="0.2">
      <c r="B123" s="5"/>
      <c r="C123" s="5"/>
      <c r="E123" s="5"/>
      <c r="H123" s="5"/>
      <c r="J123" s="5"/>
      <c r="K123" s="5"/>
      <c r="L123" s="5"/>
      <c r="M123" s="5"/>
      <c r="N123" s="5"/>
      <c r="O123" s="5"/>
    </row>
    <row r="124" spans="2:15" ht="9.75" customHeight="1" x14ac:dyDescent="0.2">
      <c r="B124" s="5"/>
      <c r="C124" s="5"/>
      <c r="E124" s="5"/>
      <c r="H124" s="5"/>
      <c r="J124" s="5"/>
      <c r="K124" s="5"/>
      <c r="L124" s="5"/>
      <c r="M124" s="5"/>
      <c r="N124" s="5"/>
      <c r="O124" s="5"/>
    </row>
    <row r="125" spans="2:15" ht="9.75" customHeight="1" x14ac:dyDescent="0.2">
      <c r="B125" s="5"/>
      <c r="C125" s="5"/>
      <c r="E125" s="5"/>
      <c r="H125" s="5"/>
      <c r="J125" s="5"/>
      <c r="K125" s="5"/>
      <c r="L125" s="5"/>
      <c r="M125" s="5"/>
      <c r="N125" s="5"/>
      <c r="O125" s="5"/>
    </row>
    <row r="126" spans="2:15" ht="9.75" customHeight="1" x14ac:dyDescent="0.2">
      <c r="B126" s="5"/>
      <c r="C126" s="5"/>
      <c r="E126" s="5"/>
      <c r="H126" s="5"/>
      <c r="J126" s="5"/>
      <c r="K126" s="5"/>
      <c r="L126" s="5"/>
      <c r="M126" s="5"/>
      <c r="N126" s="5"/>
      <c r="O126" s="5"/>
    </row>
    <row r="127" spans="2:15" ht="9.75" customHeight="1" x14ac:dyDescent="0.2">
      <c r="B127" s="5"/>
      <c r="C127" s="5"/>
      <c r="E127" s="5"/>
      <c r="H127" s="5"/>
      <c r="J127" s="5"/>
      <c r="K127" s="5"/>
      <c r="L127" s="5"/>
      <c r="M127" s="5"/>
      <c r="N127" s="5"/>
      <c r="O127" s="5"/>
    </row>
    <row r="128" spans="2:15" ht="9.75" customHeight="1" x14ac:dyDescent="0.2">
      <c r="B128" s="5"/>
      <c r="C128" s="5"/>
      <c r="E128" s="5"/>
      <c r="H128" s="5"/>
      <c r="J128" s="5"/>
      <c r="K128" s="5"/>
      <c r="L128" s="5"/>
      <c r="M128" s="5"/>
      <c r="N128" s="5"/>
      <c r="O128" s="5"/>
    </row>
    <row r="129" spans="2:15" ht="9.75" customHeight="1" x14ac:dyDescent="0.2">
      <c r="B129" s="5"/>
      <c r="C129" s="5"/>
      <c r="E129" s="5"/>
      <c r="H129" s="5"/>
      <c r="J129" s="5"/>
      <c r="K129" s="5"/>
      <c r="L129" s="5"/>
      <c r="M129" s="5"/>
      <c r="N129" s="5"/>
      <c r="O129" s="5"/>
    </row>
    <row r="130" spans="2:15" ht="9.75" customHeight="1" x14ac:dyDescent="0.2">
      <c r="B130" s="5"/>
      <c r="C130" s="5"/>
      <c r="E130" s="5"/>
      <c r="H130" s="5"/>
      <c r="J130" s="5"/>
      <c r="K130" s="5"/>
      <c r="L130" s="5"/>
      <c r="M130" s="5"/>
      <c r="N130" s="5"/>
      <c r="O130" s="5"/>
    </row>
    <row r="131" spans="2:15" ht="9.75" customHeight="1" x14ac:dyDescent="0.2">
      <c r="B131" s="5"/>
      <c r="C131" s="5"/>
      <c r="E131" s="5"/>
      <c r="H131" s="5"/>
      <c r="J131" s="5"/>
      <c r="K131" s="5"/>
      <c r="L131" s="5"/>
      <c r="M131" s="5"/>
      <c r="N131" s="5"/>
      <c r="O131" s="5"/>
    </row>
    <row r="132" spans="2:15" ht="9.75" customHeight="1" x14ac:dyDescent="0.2">
      <c r="B132" s="5"/>
      <c r="C132" s="5"/>
      <c r="E132" s="5"/>
      <c r="H132" s="5"/>
      <c r="J132" s="5"/>
      <c r="K132" s="5"/>
      <c r="L132" s="5"/>
      <c r="M132" s="5"/>
      <c r="N132" s="5"/>
      <c r="O132" s="5"/>
    </row>
    <row r="133" spans="2:15" ht="9.75" customHeight="1" x14ac:dyDescent="0.2">
      <c r="B133" s="5"/>
      <c r="C133" s="5"/>
      <c r="E133" s="5"/>
      <c r="H133" s="5"/>
      <c r="J133" s="5"/>
      <c r="K133" s="5"/>
      <c r="L133" s="5"/>
      <c r="M133" s="5"/>
      <c r="N133" s="5"/>
      <c r="O133" s="5"/>
    </row>
    <row r="134" spans="2:15" ht="9.75" customHeight="1" x14ac:dyDescent="0.2">
      <c r="B134" s="5"/>
      <c r="C134" s="5"/>
      <c r="E134" s="5"/>
      <c r="H134" s="5"/>
      <c r="J134" s="5"/>
      <c r="K134" s="5"/>
      <c r="L134" s="5"/>
      <c r="M134" s="5"/>
      <c r="N134" s="5"/>
      <c r="O134" s="5"/>
    </row>
    <row r="135" spans="2:15" ht="9.75" customHeight="1" x14ac:dyDescent="0.2">
      <c r="B135" s="5"/>
      <c r="C135" s="5"/>
      <c r="E135" s="5"/>
      <c r="H135" s="5"/>
      <c r="J135" s="5"/>
      <c r="K135" s="5"/>
      <c r="L135" s="5"/>
      <c r="M135" s="5"/>
      <c r="N135" s="5"/>
      <c r="O135" s="5"/>
    </row>
    <row r="136" spans="2:15" ht="9.75" customHeight="1" x14ac:dyDescent="0.2">
      <c r="B136" s="5"/>
      <c r="C136" s="5"/>
      <c r="E136" s="5"/>
      <c r="H136" s="5"/>
      <c r="J136" s="5"/>
      <c r="K136" s="5"/>
      <c r="L136" s="5"/>
      <c r="M136" s="5"/>
      <c r="N136" s="5"/>
      <c r="O136" s="5"/>
    </row>
    <row r="137" spans="2:15" ht="9.75" customHeight="1" x14ac:dyDescent="0.2">
      <c r="B137" s="5"/>
      <c r="C137" s="5"/>
      <c r="E137" s="5"/>
      <c r="H137" s="5"/>
      <c r="J137" s="5"/>
      <c r="K137" s="5"/>
      <c r="L137" s="5"/>
      <c r="M137" s="5"/>
      <c r="N137" s="5"/>
      <c r="O137" s="5"/>
    </row>
    <row r="138" spans="2:15" ht="9.75" customHeight="1" x14ac:dyDescent="0.2">
      <c r="B138" s="5"/>
      <c r="C138" s="5"/>
      <c r="E138" s="5"/>
      <c r="H138" s="5"/>
      <c r="J138" s="5"/>
      <c r="K138" s="5"/>
      <c r="L138" s="5"/>
      <c r="M138" s="5"/>
      <c r="N138" s="5"/>
      <c r="O138" s="5"/>
    </row>
    <row r="139" spans="2:15" ht="9.75" customHeight="1" x14ac:dyDescent="0.2">
      <c r="B139" s="5"/>
      <c r="C139" s="5"/>
      <c r="E139" s="5"/>
      <c r="H139" s="5"/>
      <c r="J139" s="5"/>
      <c r="K139" s="5"/>
      <c r="L139" s="5"/>
      <c r="M139" s="5"/>
      <c r="N139" s="5"/>
      <c r="O139" s="5"/>
    </row>
    <row r="140" spans="2:15" ht="9.75" customHeight="1" x14ac:dyDescent="0.2">
      <c r="B140" s="5"/>
      <c r="C140" s="5"/>
      <c r="E140" s="5"/>
      <c r="H140" s="5"/>
      <c r="J140" s="5"/>
      <c r="K140" s="5"/>
      <c r="L140" s="5"/>
      <c r="M140" s="5"/>
      <c r="N140" s="5"/>
      <c r="O140" s="5"/>
    </row>
    <row r="141" spans="2:15" ht="9.75" customHeight="1" x14ac:dyDescent="0.2">
      <c r="B141" s="5"/>
      <c r="C141" s="5"/>
      <c r="E141" s="5"/>
      <c r="H141" s="5"/>
      <c r="J141" s="5"/>
      <c r="K141" s="5"/>
      <c r="L141" s="5"/>
      <c r="M141" s="5"/>
      <c r="N141" s="5"/>
      <c r="O141" s="5"/>
    </row>
    <row r="142" spans="2:15" ht="9.75" customHeight="1" x14ac:dyDescent="0.2">
      <c r="B142" s="5"/>
      <c r="C142" s="5"/>
      <c r="E142" s="5"/>
      <c r="H142" s="5"/>
      <c r="J142" s="5"/>
      <c r="K142" s="5"/>
      <c r="L142" s="5"/>
      <c r="M142" s="5"/>
      <c r="N142" s="5"/>
      <c r="O142" s="5"/>
    </row>
    <row r="143" spans="2:15" ht="9.75" customHeight="1" x14ac:dyDescent="0.2">
      <c r="B143" s="5"/>
      <c r="C143" s="5"/>
      <c r="E143" s="5"/>
      <c r="H143" s="5"/>
      <c r="J143" s="5"/>
      <c r="K143" s="5"/>
      <c r="L143" s="5"/>
      <c r="M143" s="5"/>
      <c r="N143" s="5"/>
      <c r="O143" s="5"/>
    </row>
    <row r="144" spans="2:15" ht="9.75" customHeight="1" x14ac:dyDescent="0.2">
      <c r="B144" s="5"/>
      <c r="C144" s="5"/>
      <c r="E144" s="5"/>
      <c r="H144" s="5"/>
      <c r="J144" s="5"/>
      <c r="K144" s="5"/>
      <c r="L144" s="5"/>
      <c r="M144" s="5"/>
      <c r="N144" s="5"/>
      <c r="O144" s="5"/>
    </row>
    <row r="145" spans="2:15" ht="9.75" customHeight="1" x14ac:dyDescent="0.2">
      <c r="B145" s="5"/>
      <c r="C145" s="5"/>
      <c r="E145" s="5"/>
      <c r="H145" s="5"/>
      <c r="J145" s="5"/>
      <c r="K145" s="5"/>
      <c r="L145" s="5"/>
      <c r="M145" s="5"/>
      <c r="N145" s="5"/>
      <c r="O145" s="5"/>
    </row>
    <row r="146" spans="2:15" ht="9.75" customHeight="1" x14ac:dyDescent="0.2">
      <c r="B146" s="5"/>
      <c r="C146" s="5"/>
      <c r="E146" s="5"/>
      <c r="H146" s="5"/>
      <c r="J146" s="5"/>
      <c r="K146" s="5"/>
      <c r="L146" s="5"/>
      <c r="M146" s="5"/>
      <c r="N146" s="5"/>
      <c r="O146" s="5"/>
    </row>
    <row r="147" spans="2:15" ht="9.75" customHeight="1" x14ac:dyDescent="0.2">
      <c r="B147" s="5"/>
      <c r="C147" s="5"/>
      <c r="E147" s="5"/>
      <c r="H147" s="5"/>
      <c r="J147" s="5"/>
      <c r="K147" s="5"/>
      <c r="L147" s="5"/>
      <c r="M147" s="5"/>
      <c r="N147" s="5"/>
      <c r="O147" s="5"/>
    </row>
    <row r="148" spans="2:15" ht="9.75" customHeight="1" x14ac:dyDescent="0.2">
      <c r="B148" s="5"/>
      <c r="C148" s="5"/>
      <c r="E148" s="5"/>
      <c r="H148" s="5"/>
      <c r="J148" s="5"/>
      <c r="K148" s="5"/>
      <c r="L148" s="5"/>
      <c r="M148" s="5"/>
      <c r="N148" s="5"/>
      <c r="O148" s="5"/>
    </row>
    <row r="149" spans="2:15" ht="9.75" customHeight="1" x14ac:dyDescent="0.2">
      <c r="B149" s="5"/>
      <c r="C149" s="5"/>
      <c r="E149" s="5"/>
      <c r="H149" s="5"/>
      <c r="J149" s="5"/>
      <c r="K149" s="5"/>
      <c r="L149" s="5"/>
      <c r="M149" s="5"/>
      <c r="N149" s="5"/>
      <c r="O149" s="5"/>
    </row>
    <row r="150" spans="2:15" ht="9.75" customHeight="1" x14ac:dyDescent="0.2">
      <c r="B150" s="5"/>
      <c r="C150" s="5"/>
      <c r="E150" s="5"/>
      <c r="H150" s="5"/>
      <c r="J150" s="5"/>
      <c r="K150" s="5"/>
      <c r="L150" s="5"/>
      <c r="M150" s="5"/>
      <c r="N150" s="5"/>
      <c r="O150" s="5"/>
    </row>
    <row r="151" spans="2:15" ht="9.75" customHeight="1" x14ac:dyDescent="0.2">
      <c r="B151" s="5"/>
      <c r="C151" s="5"/>
      <c r="E151" s="5"/>
      <c r="H151" s="5"/>
      <c r="J151" s="5"/>
      <c r="K151" s="5"/>
      <c r="L151" s="5"/>
      <c r="M151" s="5"/>
      <c r="N151" s="5"/>
      <c r="O151" s="5"/>
    </row>
    <row r="152" spans="2:15" ht="9.75" customHeight="1" x14ac:dyDescent="0.2">
      <c r="B152" s="5"/>
      <c r="C152" s="5"/>
      <c r="E152" s="5"/>
      <c r="H152" s="5"/>
      <c r="J152" s="5"/>
      <c r="K152" s="5"/>
      <c r="L152" s="5"/>
      <c r="M152" s="5"/>
      <c r="N152" s="5"/>
      <c r="O152" s="5"/>
    </row>
    <row r="153" spans="2:15" ht="9.75" customHeight="1" x14ac:dyDescent="0.2">
      <c r="B153" s="5"/>
      <c r="C153" s="5"/>
      <c r="E153" s="5"/>
      <c r="H153" s="5"/>
      <c r="J153" s="5"/>
      <c r="K153" s="5"/>
      <c r="L153" s="5"/>
      <c r="M153" s="5"/>
      <c r="N153" s="5"/>
      <c r="O153" s="5"/>
    </row>
    <row r="154" spans="2:15" ht="9.75" customHeight="1" x14ac:dyDescent="0.2">
      <c r="B154" s="5"/>
      <c r="C154" s="5"/>
      <c r="E154" s="5"/>
      <c r="H154" s="5"/>
      <c r="J154" s="5"/>
      <c r="K154" s="5"/>
      <c r="L154" s="5"/>
      <c r="M154" s="5"/>
      <c r="N154" s="5"/>
      <c r="O154" s="5"/>
    </row>
    <row r="155" spans="2:15" ht="9.75" customHeight="1" x14ac:dyDescent="0.2">
      <c r="B155" s="5"/>
      <c r="C155" s="5"/>
      <c r="E155" s="5"/>
      <c r="H155" s="5"/>
      <c r="J155" s="5"/>
      <c r="K155" s="5"/>
      <c r="L155" s="5"/>
      <c r="M155" s="5"/>
      <c r="N155" s="5"/>
      <c r="O155" s="5"/>
    </row>
    <row r="156" spans="2:15" ht="9.75" customHeight="1" x14ac:dyDescent="0.2">
      <c r="B156" s="5"/>
      <c r="C156" s="5"/>
      <c r="E156" s="5"/>
      <c r="H156" s="5"/>
      <c r="J156" s="5"/>
      <c r="K156" s="5"/>
      <c r="L156" s="5"/>
      <c r="M156" s="5"/>
      <c r="N156" s="5"/>
      <c r="O156" s="5"/>
    </row>
    <row r="157" spans="2:15" ht="9.75" customHeight="1" x14ac:dyDescent="0.2">
      <c r="B157" s="5"/>
      <c r="C157" s="5"/>
      <c r="E157" s="5"/>
      <c r="H157" s="5"/>
      <c r="J157" s="5"/>
      <c r="K157" s="5"/>
      <c r="L157" s="5"/>
      <c r="M157" s="5"/>
      <c r="N157" s="5"/>
      <c r="O157" s="5"/>
    </row>
    <row r="158" spans="2:15" ht="9.75" customHeight="1" x14ac:dyDescent="0.2">
      <c r="B158" s="5"/>
      <c r="C158" s="5"/>
      <c r="E158" s="5"/>
      <c r="H158" s="5"/>
      <c r="J158" s="5"/>
      <c r="K158" s="5"/>
      <c r="L158" s="5"/>
      <c r="M158" s="5"/>
      <c r="N158" s="5"/>
      <c r="O158" s="5"/>
    </row>
    <row r="159" spans="2:15" ht="9.75" customHeight="1" x14ac:dyDescent="0.2">
      <c r="B159" s="5"/>
      <c r="C159" s="5"/>
      <c r="E159" s="5"/>
      <c r="H159" s="5"/>
      <c r="J159" s="5"/>
      <c r="K159" s="5"/>
      <c r="L159" s="5"/>
      <c r="M159" s="5"/>
      <c r="N159" s="5"/>
      <c r="O159" s="5"/>
    </row>
    <row r="160" spans="2:15" ht="9.75" customHeight="1" x14ac:dyDescent="0.2">
      <c r="B160" s="5"/>
      <c r="C160" s="5"/>
      <c r="E160" s="5"/>
      <c r="H160" s="5"/>
      <c r="J160" s="5"/>
      <c r="K160" s="5"/>
      <c r="L160" s="5"/>
      <c r="M160" s="5"/>
      <c r="N160" s="5"/>
      <c r="O160" s="5"/>
    </row>
    <row r="161" spans="2:15" ht="9.75" customHeight="1" x14ac:dyDescent="0.2">
      <c r="B161" s="5"/>
      <c r="C161" s="5"/>
      <c r="E161" s="5"/>
      <c r="H161" s="5"/>
      <c r="J161" s="5"/>
      <c r="K161" s="5"/>
      <c r="L161" s="5"/>
      <c r="M161" s="5"/>
      <c r="N161" s="5"/>
      <c r="O161" s="5"/>
    </row>
    <row r="162" spans="2:15" ht="9.75" customHeight="1" x14ac:dyDescent="0.2">
      <c r="B162" s="5"/>
      <c r="C162" s="5"/>
      <c r="E162" s="5"/>
      <c r="H162" s="5"/>
      <c r="J162" s="5"/>
      <c r="K162" s="5"/>
      <c r="L162" s="5"/>
      <c r="M162" s="5"/>
      <c r="N162" s="5"/>
      <c r="O162" s="5"/>
    </row>
    <row r="163" spans="2:15" ht="9.75" customHeight="1" x14ac:dyDescent="0.2">
      <c r="B163" s="5"/>
      <c r="C163" s="5"/>
      <c r="E163" s="5"/>
      <c r="H163" s="5"/>
      <c r="J163" s="5"/>
      <c r="K163" s="5"/>
      <c r="L163" s="5"/>
      <c r="M163" s="5"/>
      <c r="N163" s="5"/>
      <c r="O163" s="5"/>
    </row>
    <row r="164" spans="2:15" ht="9.75" customHeight="1" x14ac:dyDescent="0.2">
      <c r="B164" s="5"/>
      <c r="C164" s="5"/>
      <c r="E164" s="5"/>
      <c r="H164" s="5"/>
      <c r="J164" s="5"/>
      <c r="K164" s="5"/>
      <c r="L164" s="5"/>
      <c r="M164" s="5"/>
      <c r="N164" s="5"/>
      <c r="O164" s="5"/>
    </row>
    <row r="165" spans="2:15" ht="9.75" customHeight="1" x14ac:dyDescent="0.2">
      <c r="B165" s="5"/>
      <c r="C165" s="5"/>
      <c r="E165" s="5"/>
      <c r="H165" s="5"/>
      <c r="J165" s="5"/>
      <c r="K165" s="5"/>
      <c r="L165" s="5"/>
      <c r="M165" s="5"/>
      <c r="N165" s="5"/>
      <c r="O165" s="5"/>
    </row>
    <row r="166" spans="2:15" ht="9.75" customHeight="1" x14ac:dyDescent="0.2">
      <c r="B166" s="5"/>
      <c r="C166" s="5"/>
      <c r="E166" s="5"/>
      <c r="H166" s="5"/>
      <c r="J166" s="5"/>
      <c r="K166" s="5"/>
      <c r="L166" s="5"/>
      <c r="M166" s="5"/>
      <c r="N166" s="5"/>
      <c r="O166" s="5"/>
    </row>
    <row r="167" spans="2:15" ht="9.75" customHeight="1" x14ac:dyDescent="0.2">
      <c r="B167" s="5"/>
      <c r="C167" s="5"/>
      <c r="E167" s="5"/>
      <c r="H167" s="5"/>
      <c r="J167" s="5"/>
      <c r="K167" s="5"/>
      <c r="L167" s="5"/>
      <c r="M167" s="5"/>
      <c r="N167" s="5"/>
      <c r="O167" s="5"/>
    </row>
    <row r="168" spans="2:15" ht="9.75" customHeight="1" x14ac:dyDescent="0.2">
      <c r="B168" s="5"/>
      <c r="C168" s="5"/>
      <c r="E168" s="5"/>
      <c r="H168" s="5"/>
      <c r="J168" s="5"/>
      <c r="K168" s="5"/>
      <c r="L168" s="5"/>
      <c r="M168" s="5"/>
      <c r="N168" s="5"/>
      <c r="O168" s="5"/>
    </row>
    <row r="169" spans="2:15" ht="9.75" customHeight="1" x14ac:dyDescent="0.2">
      <c r="B169" s="5"/>
      <c r="C169" s="5"/>
      <c r="E169" s="5"/>
      <c r="H169" s="5"/>
      <c r="J169" s="5"/>
      <c r="K169" s="5"/>
      <c r="L169" s="5"/>
      <c r="M169" s="5"/>
      <c r="N169" s="5"/>
      <c r="O169" s="5"/>
    </row>
    <row r="170" spans="2:15" ht="9.75" customHeight="1" x14ac:dyDescent="0.2">
      <c r="B170" s="5"/>
      <c r="C170" s="5"/>
      <c r="E170" s="5"/>
      <c r="H170" s="5"/>
      <c r="J170" s="5"/>
      <c r="K170" s="5"/>
      <c r="L170" s="5"/>
      <c r="M170" s="5"/>
      <c r="N170" s="5"/>
      <c r="O170" s="5"/>
    </row>
    <row r="171" spans="2:15" ht="9.75" customHeight="1" x14ac:dyDescent="0.2">
      <c r="B171" s="5"/>
      <c r="C171" s="5"/>
      <c r="E171" s="5"/>
      <c r="H171" s="5"/>
      <c r="J171" s="5"/>
      <c r="K171" s="5"/>
      <c r="L171" s="5"/>
      <c r="M171" s="5"/>
      <c r="N171" s="5"/>
      <c r="O171" s="5"/>
    </row>
    <row r="172" spans="2:15" ht="9.75" customHeight="1" x14ac:dyDescent="0.2">
      <c r="B172" s="5"/>
      <c r="C172" s="5"/>
      <c r="E172" s="5"/>
      <c r="H172" s="5"/>
      <c r="J172" s="5"/>
      <c r="K172" s="5"/>
      <c r="L172" s="5"/>
      <c r="M172" s="5"/>
      <c r="N172" s="5"/>
      <c r="O172" s="5"/>
    </row>
    <row r="173" spans="2:15" ht="9.75" customHeight="1" x14ac:dyDescent="0.2">
      <c r="B173" s="5"/>
      <c r="C173" s="5"/>
      <c r="E173" s="5"/>
      <c r="H173" s="5"/>
      <c r="J173" s="5"/>
      <c r="K173" s="5"/>
      <c r="L173" s="5"/>
      <c r="M173" s="5"/>
      <c r="N173" s="5"/>
      <c r="O173" s="5"/>
    </row>
    <row r="174" spans="2:15" ht="9.75" customHeight="1" x14ac:dyDescent="0.2">
      <c r="B174" s="5"/>
      <c r="C174" s="5"/>
      <c r="E174" s="5"/>
      <c r="H174" s="5"/>
      <c r="J174" s="5"/>
      <c r="K174" s="5"/>
      <c r="L174" s="5"/>
      <c r="M174" s="5"/>
      <c r="N174" s="5"/>
      <c r="O174" s="5"/>
    </row>
    <row r="175" spans="2:15" ht="9.75" customHeight="1" x14ac:dyDescent="0.2">
      <c r="B175" s="5"/>
      <c r="C175" s="5"/>
      <c r="E175" s="5"/>
      <c r="H175" s="5"/>
      <c r="J175" s="5"/>
      <c r="K175" s="5"/>
      <c r="L175" s="5"/>
      <c r="M175" s="5"/>
      <c r="N175" s="5"/>
      <c r="O175" s="5"/>
    </row>
    <row r="176" spans="2:15" ht="9.75" customHeight="1" x14ac:dyDescent="0.2">
      <c r="B176" s="5"/>
      <c r="C176" s="5"/>
      <c r="E176" s="5"/>
      <c r="H176" s="5"/>
      <c r="J176" s="5"/>
      <c r="K176" s="5"/>
      <c r="L176" s="5"/>
      <c r="M176" s="5"/>
      <c r="N176" s="5"/>
      <c r="O176" s="5"/>
    </row>
    <row r="177" spans="2:15" ht="9.75" customHeight="1" x14ac:dyDescent="0.2">
      <c r="B177" s="5"/>
      <c r="C177" s="5"/>
      <c r="E177" s="5"/>
      <c r="H177" s="5"/>
      <c r="J177" s="5"/>
      <c r="K177" s="5"/>
      <c r="L177" s="5"/>
      <c r="M177" s="5"/>
      <c r="N177" s="5"/>
      <c r="O177" s="5"/>
    </row>
    <row r="178" spans="2:15" ht="9.75" customHeight="1" x14ac:dyDescent="0.2">
      <c r="B178" s="5"/>
      <c r="C178" s="5"/>
      <c r="E178" s="5"/>
      <c r="H178" s="5"/>
      <c r="J178" s="5"/>
      <c r="K178" s="5"/>
      <c r="L178" s="5"/>
      <c r="M178" s="5"/>
      <c r="N178" s="5"/>
      <c r="O178" s="5"/>
    </row>
    <row r="179" spans="2:15" ht="9.75" customHeight="1" x14ac:dyDescent="0.2">
      <c r="B179" s="5"/>
      <c r="C179" s="5"/>
      <c r="E179" s="5"/>
      <c r="H179" s="5"/>
      <c r="J179" s="5"/>
      <c r="K179" s="5"/>
      <c r="L179" s="5"/>
      <c r="M179" s="5"/>
      <c r="N179" s="5"/>
      <c r="O179" s="5"/>
    </row>
    <row r="180" spans="2:15" ht="9.75" customHeight="1" x14ac:dyDescent="0.2">
      <c r="B180" s="5"/>
      <c r="C180" s="5"/>
      <c r="E180" s="5"/>
      <c r="H180" s="5"/>
      <c r="J180" s="5"/>
      <c r="K180" s="5"/>
      <c r="L180" s="5"/>
      <c r="M180" s="5"/>
      <c r="N180" s="5"/>
      <c r="O180" s="5"/>
    </row>
    <row r="181" spans="2:15" ht="9.75" customHeight="1" x14ac:dyDescent="0.2">
      <c r="B181" s="5"/>
      <c r="C181" s="5"/>
      <c r="E181" s="5"/>
      <c r="H181" s="5"/>
      <c r="J181" s="5"/>
      <c r="K181" s="5"/>
      <c r="L181" s="5"/>
      <c r="M181" s="5"/>
      <c r="N181" s="5"/>
      <c r="O181" s="5"/>
    </row>
    <row r="182" spans="2:15" ht="9.75" customHeight="1" x14ac:dyDescent="0.2">
      <c r="B182" s="5"/>
      <c r="C182" s="5"/>
      <c r="E182" s="5"/>
      <c r="H182" s="5"/>
      <c r="J182" s="5"/>
      <c r="K182" s="5"/>
      <c r="L182" s="5"/>
      <c r="M182" s="5"/>
      <c r="N182" s="5"/>
      <c r="O182" s="5"/>
    </row>
    <row r="183" spans="2:15" ht="9.75" customHeight="1" x14ac:dyDescent="0.2">
      <c r="B183" s="5"/>
      <c r="C183" s="5"/>
      <c r="E183" s="5"/>
      <c r="H183" s="5"/>
      <c r="J183" s="5"/>
      <c r="K183" s="5"/>
      <c r="L183" s="5"/>
      <c r="M183" s="5"/>
      <c r="N183" s="5"/>
      <c r="O183" s="5"/>
    </row>
    <row r="184" spans="2:15" ht="9.75" customHeight="1" x14ac:dyDescent="0.2">
      <c r="B184" s="5"/>
      <c r="C184" s="5"/>
      <c r="E184" s="5"/>
      <c r="H184" s="5"/>
      <c r="J184" s="5"/>
      <c r="K184" s="5"/>
      <c r="L184" s="5"/>
      <c r="M184" s="5"/>
      <c r="N184" s="5"/>
      <c r="O184" s="5"/>
    </row>
    <row r="185" spans="2:15" ht="9.75" customHeight="1" x14ac:dyDescent="0.2">
      <c r="B185" s="5"/>
      <c r="C185" s="5"/>
      <c r="E185" s="5"/>
      <c r="H185" s="5"/>
      <c r="J185" s="5"/>
      <c r="K185" s="5"/>
      <c r="L185" s="5"/>
      <c r="M185" s="5"/>
      <c r="N185" s="5"/>
      <c r="O185" s="5"/>
    </row>
    <row r="186" spans="2:15" ht="9.75" customHeight="1" x14ac:dyDescent="0.2">
      <c r="B186" s="5"/>
      <c r="C186" s="5"/>
      <c r="E186" s="5"/>
      <c r="H186" s="5"/>
      <c r="J186" s="5"/>
      <c r="K186" s="5"/>
      <c r="L186" s="5"/>
      <c r="M186" s="5"/>
      <c r="N186" s="5"/>
      <c r="O186" s="5"/>
    </row>
    <row r="187" spans="2:15" ht="9.75" customHeight="1" x14ac:dyDescent="0.2">
      <c r="B187" s="5"/>
      <c r="C187" s="5"/>
      <c r="E187" s="5"/>
      <c r="H187" s="5"/>
      <c r="J187" s="5"/>
      <c r="K187" s="5"/>
      <c r="L187" s="5"/>
      <c r="M187" s="5"/>
      <c r="N187" s="5"/>
      <c r="O187" s="5"/>
    </row>
    <row r="188" spans="2:15" ht="9.75" customHeight="1" x14ac:dyDescent="0.2">
      <c r="B188" s="5"/>
      <c r="C188" s="5"/>
      <c r="E188" s="5"/>
      <c r="H188" s="5"/>
      <c r="J188" s="5"/>
      <c r="K188" s="5"/>
      <c r="L188" s="5"/>
      <c r="M188" s="5"/>
      <c r="N188" s="5"/>
      <c r="O188" s="5"/>
    </row>
    <row r="189" spans="2:15" ht="9.75" customHeight="1" x14ac:dyDescent="0.2">
      <c r="B189" s="5"/>
      <c r="C189" s="5"/>
      <c r="E189" s="5"/>
      <c r="H189" s="5"/>
      <c r="J189" s="5"/>
      <c r="K189" s="5"/>
      <c r="L189" s="5"/>
      <c r="M189" s="5"/>
      <c r="N189" s="5"/>
      <c r="O189" s="5"/>
    </row>
    <row r="190" spans="2:15" ht="9.75" customHeight="1" x14ac:dyDescent="0.2">
      <c r="B190" s="5"/>
      <c r="C190" s="5"/>
      <c r="E190" s="5"/>
      <c r="H190" s="5"/>
      <c r="J190" s="5"/>
      <c r="K190" s="5"/>
      <c r="L190" s="5"/>
      <c r="M190" s="5"/>
      <c r="N190" s="5"/>
      <c r="O190" s="5"/>
    </row>
    <row r="191" spans="2:15" ht="9.75" customHeight="1" x14ac:dyDescent="0.2">
      <c r="B191" s="5"/>
      <c r="C191" s="5"/>
      <c r="E191" s="5"/>
      <c r="H191" s="5"/>
      <c r="J191" s="5"/>
      <c r="K191" s="5"/>
      <c r="L191" s="5"/>
      <c r="M191" s="5"/>
      <c r="N191" s="5"/>
      <c r="O191" s="5"/>
    </row>
    <row r="192" spans="2:15" ht="9.75" customHeight="1" x14ac:dyDescent="0.2">
      <c r="B192" s="5"/>
      <c r="C192" s="5"/>
      <c r="E192" s="5"/>
      <c r="H192" s="5"/>
      <c r="J192" s="5"/>
      <c r="K192" s="5"/>
      <c r="L192" s="5"/>
      <c r="M192" s="5"/>
      <c r="N192" s="5"/>
      <c r="O192" s="5"/>
    </row>
    <row r="193" spans="2:15" ht="9.75" customHeight="1" x14ac:dyDescent="0.2">
      <c r="B193" s="5"/>
      <c r="C193" s="5"/>
      <c r="E193" s="5"/>
      <c r="H193" s="5"/>
      <c r="J193" s="5"/>
      <c r="K193" s="5"/>
      <c r="L193" s="5"/>
      <c r="M193" s="5"/>
      <c r="N193" s="5"/>
      <c r="O193" s="5"/>
    </row>
    <row r="194" spans="2:15" ht="9.75" customHeight="1" x14ac:dyDescent="0.2">
      <c r="B194" s="5"/>
      <c r="C194" s="5"/>
      <c r="E194" s="5"/>
      <c r="H194" s="5"/>
      <c r="J194" s="5"/>
      <c r="K194" s="5"/>
      <c r="L194" s="5"/>
      <c r="M194" s="5"/>
      <c r="N194" s="5"/>
      <c r="O194" s="5"/>
    </row>
    <row r="195" spans="2:15" ht="9.75" customHeight="1" x14ac:dyDescent="0.2">
      <c r="B195" s="5"/>
      <c r="C195" s="5"/>
      <c r="E195" s="5"/>
      <c r="H195" s="5"/>
      <c r="J195" s="5"/>
      <c r="K195" s="5"/>
      <c r="L195" s="5"/>
      <c r="M195" s="5"/>
      <c r="N195" s="5"/>
      <c r="O195" s="5"/>
    </row>
    <row r="196" spans="2:15" ht="9.75" customHeight="1" x14ac:dyDescent="0.2">
      <c r="B196" s="5"/>
      <c r="C196" s="5"/>
      <c r="E196" s="5"/>
      <c r="H196" s="5"/>
      <c r="J196" s="5"/>
      <c r="K196" s="5"/>
      <c r="L196" s="5"/>
      <c r="M196" s="5"/>
      <c r="N196" s="5"/>
      <c r="O196" s="5"/>
    </row>
    <row r="197" spans="2:15" ht="9.75" customHeight="1" x14ac:dyDescent="0.2">
      <c r="B197" s="5"/>
      <c r="C197" s="5"/>
      <c r="E197" s="5"/>
      <c r="H197" s="5"/>
      <c r="J197" s="5"/>
      <c r="K197" s="5"/>
      <c r="L197" s="5"/>
      <c r="M197" s="5"/>
      <c r="N197" s="5"/>
      <c r="O197" s="5"/>
    </row>
    <row r="198" spans="2:15" ht="9.75" customHeight="1" x14ac:dyDescent="0.2">
      <c r="B198" s="5"/>
      <c r="C198" s="5"/>
      <c r="E198" s="5"/>
      <c r="H198" s="5"/>
      <c r="J198" s="5"/>
      <c r="K198" s="5"/>
      <c r="L198" s="5"/>
      <c r="M198" s="5"/>
      <c r="N198" s="5"/>
      <c r="O198" s="5"/>
    </row>
    <row r="199" spans="2:15" ht="9.75" customHeight="1" x14ac:dyDescent="0.2">
      <c r="B199" s="5"/>
      <c r="C199" s="5"/>
      <c r="E199" s="5"/>
      <c r="H199" s="5"/>
      <c r="J199" s="5"/>
      <c r="K199" s="5"/>
      <c r="L199" s="5"/>
      <c r="M199" s="5"/>
      <c r="N199" s="5"/>
      <c r="O199" s="5"/>
    </row>
    <row r="200" spans="2:15" ht="9.75" customHeight="1" x14ac:dyDescent="0.2">
      <c r="B200" s="5"/>
      <c r="C200" s="5"/>
      <c r="E200" s="5"/>
      <c r="H200" s="5"/>
      <c r="J200" s="5"/>
      <c r="K200" s="5"/>
      <c r="L200" s="5"/>
      <c r="M200" s="5"/>
      <c r="N200" s="5"/>
      <c r="O200" s="5"/>
    </row>
    <row r="201" spans="2:15" ht="9.75" customHeight="1" x14ac:dyDescent="0.2">
      <c r="B201" s="5"/>
      <c r="C201" s="5"/>
      <c r="E201" s="5"/>
      <c r="H201" s="5"/>
      <c r="J201" s="5"/>
      <c r="K201" s="5"/>
      <c r="L201" s="5"/>
      <c r="M201" s="5"/>
      <c r="N201" s="5"/>
      <c r="O201" s="5"/>
    </row>
    <row r="202" spans="2:15" ht="9.75" customHeight="1" x14ac:dyDescent="0.2">
      <c r="B202" s="5"/>
      <c r="C202" s="5"/>
      <c r="E202" s="5"/>
      <c r="H202" s="5"/>
      <c r="J202" s="5"/>
      <c r="K202" s="5"/>
      <c r="L202" s="5"/>
      <c r="M202" s="5"/>
      <c r="N202" s="5"/>
      <c r="O202" s="5"/>
    </row>
    <row r="203" spans="2:15" ht="9.75" customHeight="1" x14ac:dyDescent="0.2">
      <c r="B203" s="5"/>
      <c r="C203" s="5"/>
      <c r="E203" s="5"/>
      <c r="H203" s="5"/>
      <c r="J203" s="5"/>
      <c r="K203" s="5"/>
      <c r="L203" s="5"/>
      <c r="M203" s="5"/>
      <c r="N203" s="5"/>
      <c r="O203" s="5"/>
    </row>
    <row r="204" spans="2:15" ht="9.75" customHeight="1" x14ac:dyDescent="0.2">
      <c r="B204" s="5"/>
      <c r="C204" s="5"/>
      <c r="E204" s="5"/>
      <c r="H204" s="5"/>
      <c r="J204" s="5"/>
      <c r="K204" s="5"/>
      <c r="L204" s="5"/>
      <c r="M204" s="5"/>
      <c r="N204" s="5"/>
      <c r="O204" s="5"/>
    </row>
    <row r="205" spans="2:15" ht="9.75" customHeight="1" x14ac:dyDescent="0.2">
      <c r="B205" s="5"/>
      <c r="C205" s="5"/>
      <c r="E205" s="5"/>
      <c r="H205" s="5"/>
      <c r="J205" s="5"/>
      <c r="K205" s="5"/>
      <c r="L205" s="5"/>
      <c r="M205" s="5"/>
      <c r="N205" s="5"/>
      <c r="O205" s="5"/>
    </row>
    <row r="206" spans="2:15" ht="9.75" customHeight="1" x14ac:dyDescent="0.2">
      <c r="B206" s="5"/>
      <c r="C206" s="5"/>
      <c r="E206" s="5"/>
      <c r="H206" s="5"/>
      <c r="J206" s="5"/>
      <c r="K206" s="5"/>
      <c r="L206" s="5"/>
      <c r="M206" s="5"/>
      <c r="N206" s="5"/>
      <c r="O206" s="5"/>
    </row>
    <row r="207" spans="2:15" ht="9.75" customHeight="1" x14ac:dyDescent="0.2">
      <c r="B207" s="5"/>
      <c r="C207" s="5"/>
      <c r="E207" s="5"/>
      <c r="H207" s="5"/>
      <c r="J207" s="5"/>
      <c r="K207" s="5"/>
      <c r="L207" s="5"/>
      <c r="M207" s="5"/>
      <c r="N207" s="5"/>
      <c r="O207" s="5"/>
    </row>
    <row r="208" spans="2:15" ht="9.75" customHeight="1" x14ac:dyDescent="0.2">
      <c r="B208" s="5"/>
      <c r="C208" s="5"/>
      <c r="E208" s="5"/>
      <c r="H208" s="5"/>
      <c r="J208" s="5"/>
      <c r="K208" s="5"/>
      <c r="L208" s="5"/>
      <c r="M208" s="5"/>
      <c r="N208" s="5"/>
      <c r="O208" s="5"/>
    </row>
    <row r="209" spans="2:15" ht="9.75" customHeight="1" x14ac:dyDescent="0.2">
      <c r="B209" s="5"/>
      <c r="C209" s="5"/>
      <c r="E209" s="5"/>
      <c r="H209" s="5"/>
      <c r="J209" s="5"/>
      <c r="K209" s="5"/>
      <c r="L209" s="5"/>
      <c r="M209" s="5"/>
      <c r="N209" s="5"/>
      <c r="O209" s="5"/>
    </row>
    <row r="210" spans="2:15" ht="9.75" customHeight="1" x14ac:dyDescent="0.2">
      <c r="B210" s="5"/>
      <c r="C210" s="5"/>
      <c r="E210" s="5"/>
      <c r="H210" s="5"/>
      <c r="J210" s="5"/>
      <c r="K210" s="5"/>
      <c r="L210" s="5"/>
      <c r="M210" s="5"/>
      <c r="N210" s="5"/>
      <c r="O210" s="5"/>
    </row>
    <row r="211" spans="2:15" ht="9.75" customHeight="1" x14ac:dyDescent="0.2">
      <c r="B211" s="5"/>
      <c r="C211" s="5"/>
      <c r="E211" s="5"/>
      <c r="H211" s="5"/>
      <c r="J211" s="5"/>
      <c r="K211" s="5"/>
      <c r="L211" s="5"/>
      <c r="M211" s="5"/>
      <c r="N211" s="5"/>
      <c r="O211" s="5"/>
    </row>
    <row r="212" spans="2:15" ht="9.75" customHeight="1" x14ac:dyDescent="0.2">
      <c r="B212" s="5"/>
      <c r="C212" s="5"/>
      <c r="E212" s="5"/>
      <c r="H212" s="5"/>
      <c r="J212" s="5"/>
      <c r="K212" s="5"/>
      <c r="L212" s="5"/>
      <c r="M212" s="5"/>
      <c r="N212" s="5"/>
      <c r="O212" s="5"/>
    </row>
    <row r="213" spans="2:15" ht="9.75" customHeight="1" x14ac:dyDescent="0.2">
      <c r="B213" s="5"/>
      <c r="C213" s="5"/>
      <c r="E213" s="5"/>
      <c r="H213" s="5"/>
      <c r="J213" s="5"/>
      <c r="K213" s="5"/>
      <c r="L213" s="5"/>
      <c r="M213" s="5"/>
      <c r="N213" s="5"/>
      <c r="O213" s="5"/>
    </row>
    <row r="214" spans="2:15" ht="9.75" customHeight="1" x14ac:dyDescent="0.2">
      <c r="B214" s="5"/>
      <c r="C214" s="5"/>
      <c r="E214" s="5"/>
      <c r="H214" s="5"/>
      <c r="J214" s="5"/>
      <c r="K214" s="5"/>
      <c r="L214" s="5"/>
      <c r="M214" s="5"/>
      <c r="N214" s="5"/>
      <c r="O214" s="5"/>
    </row>
    <row r="215" spans="2:15" ht="9.75" customHeight="1" x14ac:dyDescent="0.2">
      <c r="B215" s="5"/>
      <c r="C215" s="5"/>
      <c r="E215" s="5"/>
      <c r="H215" s="5"/>
      <c r="J215" s="5"/>
      <c r="K215" s="5"/>
      <c r="L215" s="5"/>
      <c r="M215" s="5"/>
      <c r="N215" s="5"/>
      <c r="O215" s="5"/>
    </row>
    <row r="216" spans="2:15" ht="9.75" customHeight="1" x14ac:dyDescent="0.2">
      <c r="B216" s="5"/>
      <c r="C216" s="5"/>
      <c r="E216" s="5"/>
      <c r="H216" s="5"/>
      <c r="J216" s="5"/>
      <c r="K216" s="5"/>
      <c r="L216" s="5"/>
      <c r="M216" s="5"/>
      <c r="N216" s="5"/>
      <c r="O216" s="5"/>
    </row>
    <row r="217" spans="2:15" ht="9.75" customHeight="1" x14ac:dyDescent="0.2">
      <c r="B217" s="5"/>
      <c r="C217" s="5"/>
      <c r="E217" s="5"/>
      <c r="H217" s="5"/>
      <c r="J217" s="5"/>
      <c r="K217" s="5"/>
      <c r="L217" s="5"/>
      <c r="M217" s="5"/>
      <c r="N217" s="5"/>
      <c r="O217" s="5"/>
    </row>
    <row r="218" spans="2:15" ht="9.75" customHeight="1" x14ac:dyDescent="0.2">
      <c r="B218" s="5"/>
      <c r="C218" s="5"/>
      <c r="E218" s="5"/>
      <c r="H218" s="5"/>
      <c r="J218" s="5"/>
      <c r="K218" s="5"/>
      <c r="L218" s="5"/>
      <c r="M218" s="5"/>
      <c r="N218" s="5"/>
      <c r="O218" s="5"/>
    </row>
    <row r="219" spans="2:15" ht="9.75" customHeight="1" x14ac:dyDescent="0.2">
      <c r="B219" s="5"/>
      <c r="C219" s="5"/>
      <c r="E219" s="5"/>
      <c r="H219" s="5"/>
      <c r="J219" s="5"/>
      <c r="K219" s="5"/>
      <c r="L219" s="5"/>
      <c r="M219" s="5"/>
      <c r="N219" s="5"/>
      <c r="O219" s="5"/>
    </row>
    <row r="220" spans="2:15" ht="9.75" customHeight="1" x14ac:dyDescent="0.2">
      <c r="B220" s="5"/>
      <c r="C220" s="5"/>
      <c r="E220" s="5"/>
      <c r="H220" s="5"/>
      <c r="J220" s="5"/>
      <c r="K220" s="5"/>
      <c r="L220" s="5"/>
      <c r="M220" s="5"/>
      <c r="N220" s="5"/>
      <c r="O220" s="5"/>
    </row>
    <row r="221" spans="2:15" ht="9.75" customHeight="1" x14ac:dyDescent="0.2">
      <c r="B221" s="5"/>
      <c r="C221" s="5"/>
      <c r="E221" s="5"/>
      <c r="H221" s="5"/>
      <c r="J221" s="5"/>
      <c r="K221" s="5"/>
      <c r="L221" s="5"/>
      <c r="M221" s="5"/>
      <c r="N221" s="5"/>
      <c r="O221" s="5"/>
    </row>
    <row r="222" spans="2:15" ht="9.75" customHeight="1" x14ac:dyDescent="0.2">
      <c r="B222" s="5"/>
      <c r="C222" s="5"/>
      <c r="E222" s="5"/>
      <c r="H222" s="5"/>
      <c r="J222" s="5"/>
      <c r="K222" s="5"/>
      <c r="L222" s="5"/>
      <c r="M222" s="5"/>
      <c r="N222" s="5"/>
      <c r="O222" s="5"/>
    </row>
    <row r="223" spans="2:15" ht="9.75" customHeight="1" x14ac:dyDescent="0.2">
      <c r="B223" s="5"/>
      <c r="C223" s="5"/>
      <c r="E223" s="5"/>
      <c r="H223" s="5"/>
      <c r="J223" s="5"/>
      <c r="K223" s="5"/>
      <c r="L223" s="5"/>
      <c r="M223" s="5"/>
      <c r="N223" s="5"/>
      <c r="O223" s="5"/>
    </row>
    <row r="224" spans="2:15" ht="9.75" customHeight="1" x14ac:dyDescent="0.2">
      <c r="B224" s="5"/>
      <c r="C224" s="5"/>
      <c r="E224" s="5"/>
      <c r="H224" s="5"/>
      <c r="J224" s="5"/>
      <c r="K224" s="5"/>
      <c r="L224" s="5"/>
      <c r="M224" s="5"/>
      <c r="N224" s="5"/>
      <c r="O224" s="5"/>
    </row>
    <row r="225" spans="2:15" ht="9.75" customHeight="1" x14ac:dyDescent="0.2">
      <c r="B225" s="5"/>
      <c r="C225" s="5"/>
      <c r="E225" s="5"/>
      <c r="H225" s="5"/>
      <c r="J225" s="5"/>
      <c r="K225" s="5"/>
      <c r="L225" s="5"/>
      <c r="M225" s="5"/>
      <c r="N225" s="5"/>
      <c r="O225" s="5"/>
    </row>
    <row r="226" spans="2:15" ht="9.75" customHeight="1" x14ac:dyDescent="0.2">
      <c r="B226" s="5"/>
      <c r="C226" s="5"/>
      <c r="E226" s="5"/>
      <c r="H226" s="5"/>
      <c r="J226" s="5"/>
      <c r="K226" s="5"/>
      <c r="L226" s="5"/>
      <c r="M226" s="5"/>
      <c r="N226" s="5"/>
      <c r="O226" s="5"/>
    </row>
    <row r="227" spans="2:15" ht="9.75" customHeight="1" x14ac:dyDescent="0.2">
      <c r="B227" s="5"/>
      <c r="C227" s="5"/>
      <c r="E227" s="5"/>
      <c r="H227" s="5"/>
      <c r="J227" s="5"/>
      <c r="K227" s="5"/>
      <c r="L227" s="5"/>
      <c r="M227" s="5"/>
      <c r="N227" s="5"/>
      <c r="O227" s="5"/>
    </row>
    <row r="228" spans="2:15" ht="9.75" customHeight="1" x14ac:dyDescent="0.2">
      <c r="B228" s="5"/>
      <c r="C228" s="5"/>
      <c r="E228" s="5"/>
      <c r="H228" s="5"/>
      <c r="J228" s="5"/>
      <c r="K228" s="5"/>
      <c r="L228" s="5"/>
      <c r="M228" s="5"/>
      <c r="N228" s="5"/>
      <c r="O228" s="5"/>
    </row>
    <row r="229" spans="2:15" ht="9.75" customHeight="1" x14ac:dyDescent="0.2">
      <c r="B229" s="5"/>
      <c r="C229" s="5"/>
      <c r="E229" s="5"/>
      <c r="H229" s="5"/>
      <c r="J229" s="5"/>
      <c r="K229" s="5"/>
      <c r="L229" s="5"/>
      <c r="M229" s="5"/>
      <c r="N229" s="5"/>
      <c r="O229" s="5"/>
    </row>
    <row r="230" spans="2:15" ht="9.75" customHeight="1" x14ac:dyDescent="0.2">
      <c r="B230" s="5"/>
      <c r="C230" s="5"/>
      <c r="E230" s="5"/>
      <c r="H230" s="5"/>
      <c r="J230" s="5"/>
      <c r="K230" s="5"/>
      <c r="L230" s="5"/>
      <c r="M230" s="5"/>
      <c r="N230" s="5"/>
      <c r="O230" s="5"/>
    </row>
    <row r="231" spans="2:15" ht="9.75" customHeight="1" x14ac:dyDescent="0.2">
      <c r="B231" s="5"/>
      <c r="C231" s="5"/>
      <c r="E231" s="5"/>
      <c r="H231" s="5"/>
      <c r="J231" s="5"/>
      <c r="K231" s="5"/>
      <c r="L231" s="5"/>
      <c r="M231" s="5"/>
      <c r="N231" s="5"/>
      <c r="O231" s="5"/>
    </row>
    <row r="232" spans="2:15" ht="9.75" customHeight="1" x14ac:dyDescent="0.2">
      <c r="B232" s="5"/>
      <c r="C232" s="5"/>
      <c r="E232" s="5"/>
      <c r="H232" s="5"/>
      <c r="J232" s="5"/>
      <c r="K232" s="5"/>
      <c r="L232" s="5"/>
      <c r="M232" s="5"/>
      <c r="N232" s="5"/>
      <c r="O232" s="5"/>
    </row>
    <row r="233" spans="2:15" ht="9.75" customHeight="1" x14ac:dyDescent="0.2">
      <c r="B233" s="5"/>
      <c r="C233" s="5"/>
      <c r="E233" s="5"/>
      <c r="H233" s="5"/>
      <c r="J233" s="5"/>
      <c r="K233" s="5"/>
      <c r="L233" s="5"/>
      <c r="M233" s="5"/>
      <c r="N233" s="5"/>
      <c r="O233" s="5"/>
    </row>
    <row r="234" spans="2:15" ht="9.75" customHeight="1" x14ac:dyDescent="0.2">
      <c r="B234" s="5"/>
      <c r="C234" s="5"/>
      <c r="E234" s="5"/>
      <c r="H234" s="5"/>
      <c r="J234" s="5"/>
      <c r="K234" s="5"/>
      <c r="L234" s="5"/>
      <c r="M234" s="5"/>
      <c r="N234" s="5"/>
      <c r="O234" s="5"/>
    </row>
    <row r="235" spans="2:15" ht="9.75" customHeight="1" x14ac:dyDescent="0.2">
      <c r="B235" s="5"/>
      <c r="C235" s="5"/>
      <c r="E235" s="5"/>
      <c r="H235" s="5"/>
      <c r="J235" s="5"/>
      <c r="K235" s="5"/>
      <c r="L235" s="5"/>
      <c r="M235" s="5"/>
      <c r="N235" s="5"/>
      <c r="O235" s="5"/>
    </row>
    <row r="236" spans="2:15" ht="9.75" customHeight="1" x14ac:dyDescent="0.2">
      <c r="B236" s="5"/>
      <c r="C236" s="5"/>
      <c r="E236" s="5"/>
      <c r="H236" s="5"/>
      <c r="J236" s="5"/>
      <c r="K236" s="5"/>
      <c r="L236" s="5"/>
      <c r="M236" s="5"/>
      <c r="N236" s="5"/>
      <c r="O236" s="5"/>
    </row>
    <row r="237" spans="2:15" ht="9.75" customHeight="1" x14ac:dyDescent="0.2">
      <c r="B237" s="5"/>
      <c r="C237" s="5"/>
      <c r="E237" s="5"/>
      <c r="H237" s="5"/>
      <c r="J237" s="5"/>
      <c r="K237" s="5"/>
      <c r="L237" s="5"/>
      <c r="M237" s="5"/>
      <c r="N237" s="5"/>
      <c r="O237" s="5"/>
    </row>
    <row r="238" spans="2:15" ht="9.75" customHeight="1" x14ac:dyDescent="0.2">
      <c r="B238" s="5"/>
      <c r="C238" s="5"/>
      <c r="E238" s="5"/>
      <c r="H238" s="5"/>
      <c r="J238" s="5"/>
      <c r="K238" s="5"/>
      <c r="L238" s="5"/>
      <c r="M238" s="5"/>
      <c r="N238" s="5"/>
      <c r="O238" s="5"/>
    </row>
    <row r="239" spans="2:15" ht="9.75" customHeight="1" x14ac:dyDescent="0.2">
      <c r="B239" s="5"/>
      <c r="C239" s="5"/>
      <c r="E239" s="5"/>
      <c r="H239" s="5"/>
      <c r="J239" s="5"/>
      <c r="K239" s="5"/>
      <c r="L239" s="5"/>
      <c r="M239" s="5"/>
      <c r="N239" s="5"/>
      <c r="O239" s="5"/>
    </row>
    <row r="240" spans="2:15" ht="9.75" customHeight="1" x14ac:dyDescent="0.2">
      <c r="B240" s="5"/>
      <c r="C240" s="5"/>
      <c r="E240" s="5"/>
      <c r="H240" s="5"/>
      <c r="J240" s="5"/>
      <c r="K240" s="5"/>
      <c r="L240" s="5"/>
      <c r="M240" s="5"/>
      <c r="N240" s="5"/>
      <c r="O240" s="5"/>
    </row>
    <row r="241" spans="2:15" ht="9.75" customHeight="1" x14ac:dyDescent="0.2">
      <c r="B241" s="5"/>
      <c r="C241" s="5"/>
      <c r="E241" s="5"/>
      <c r="H241" s="5"/>
      <c r="J241" s="5"/>
      <c r="K241" s="5"/>
      <c r="L241" s="5"/>
      <c r="M241" s="5"/>
      <c r="N241" s="5"/>
      <c r="O241" s="5"/>
    </row>
    <row r="242" spans="2:15" ht="9.75" customHeight="1" x14ac:dyDescent="0.2">
      <c r="B242" s="5"/>
      <c r="C242" s="5"/>
      <c r="E242" s="5"/>
      <c r="H242" s="5"/>
      <c r="J242" s="5"/>
      <c r="K242" s="5"/>
      <c r="L242" s="5"/>
      <c r="M242" s="5"/>
      <c r="N242" s="5"/>
      <c r="O242" s="5"/>
    </row>
    <row r="243" spans="2:15" ht="9.75" customHeight="1" x14ac:dyDescent="0.2">
      <c r="B243" s="5"/>
      <c r="C243" s="5"/>
      <c r="E243" s="5"/>
      <c r="H243" s="5"/>
      <c r="J243" s="5"/>
      <c r="K243" s="5"/>
      <c r="L243" s="5"/>
      <c r="M243" s="5"/>
      <c r="N243" s="5"/>
      <c r="O243" s="5"/>
    </row>
    <row r="244" spans="2:15" ht="9.75" customHeight="1" x14ac:dyDescent="0.2">
      <c r="B244" s="5"/>
      <c r="C244" s="5"/>
      <c r="E244" s="5"/>
      <c r="H244" s="5"/>
      <c r="J244" s="5"/>
      <c r="K244" s="5"/>
      <c r="L244" s="5"/>
      <c r="M244" s="5"/>
      <c r="N244" s="5"/>
      <c r="O244" s="5"/>
    </row>
    <row r="245" spans="2:15" ht="9.75" customHeight="1" x14ac:dyDescent="0.2">
      <c r="B245" s="5"/>
      <c r="C245" s="5"/>
      <c r="E245" s="5"/>
      <c r="H245" s="5"/>
      <c r="J245" s="5"/>
      <c r="K245" s="5"/>
      <c r="L245" s="5"/>
      <c r="M245" s="5"/>
      <c r="N245" s="5"/>
      <c r="O245" s="5"/>
    </row>
    <row r="246" spans="2:15" ht="9.75" customHeight="1" x14ac:dyDescent="0.2">
      <c r="B246" s="5"/>
      <c r="C246" s="5"/>
      <c r="E246" s="5"/>
      <c r="H246" s="5"/>
      <c r="J246" s="5"/>
      <c r="K246" s="5"/>
      <c r="L246" s="5"/>
      <c r="M246" s="5"/>
      <c r="N246" s="5"/>
      <c r="O246" s="5"/>
    </row>
    <row r="247" spans="2:15" ht="9.75" customHeight="1" x14ac:dyDescent="0.2">
      <c r="B247" s="5"/>
      <c r="C247" s="5"/>
      <c r="E247" s="5"/>
      <c r="H247" s="5"/>
      <c r="J247" s="5"/>
      <c r="K247" s="5"/>
      <c r="L247" s="5"/>
      <c r="M247" s="5"/>
      <c r="N247" s="5"/>
      <c r="O247" s="5"/>
    </row>
    <row r="248" spans="2:15" ht="9.75" customHeight="1" x14ac:dyDescent="0.2">
      <c r="B248" s="5"/>
      <c r="C248" s="5"/>
      <c r="E248" s="5"/>
      <c r="H248" s="5"/>
      <c r="J248" s="5"/>
      <c r="K248" s="5"/>
      <c r="L248" s="5"/>
      <c r="M248" s="5"/>
      <c r="N248" s="5"/>
      <c r="O248" s="5"/>
    </row>
    <row r="249" spans="2:15" ht="9.75" customHeight="1" x14ac:dyDescent="0.2">
      <c r="B249" s="5"/>
      <c r="C249" s="5"/>
      <c r="E249" s="5"/>
      <c r="H249" s="5"/>
      <c r="J249" s="5"/>
      <c r="K249" s="5"/>
      <c r="L249" s="5"/>
      <c r="M249" s="5"/>
      <c r="N249" s="5"/>
      <c r="O249" s="5"/>
    </row>
    <row r="250" spans="2:15" ht="9.75" customHeight="1" x14ac:dyDescent="0.2">
      <c r="B250" s="5"/>
      <c r="C250" s="5"/>
      <c r="E250" s="5"/>
      <c r="H250" s="5"/>
      <c r="J250" s="5"/>
      <c r="K250" s="5"/>
      <c r="L250" s="5"/>
      <c r="M250" s="5"/>
      <c r="N250" s="5"/>
      <c r="O250" s="5"/>
    </row>
    <row r="251" spans="2:15" ht="9.75" customHeight="1" x14ac:dyDescent="0.2">
      <c r="B251" s="5"/>
      <c r="C251" s="5"/>
      <c r="E251" s="5"/>
      <c r="H251" s="5"/>
      <c r="J251" s="5"/>
      <c r="K251" s="5"/>
      <c r="L251" s="5"/>
      <c r="M251" s="5"/>
      <c r="N251" s="5"/>
      <c r="O251" s="5"/>
    </row>
    <row r="252" spans="2:15" ht="9.75" customHeight="1" x14ac:dyDescent="0.2">
      <c r="B252" s="5"/>
      <c r="C252" s="5"/>
      <c r="E252" s="5"/>
      <c r="H252" s="5"/>
      <c r="J252" s="5"/>
      <c r="K252" s="5"/>
      <c r="L252" s="5"/>
      <c r="M252" s="5"/>
      <c r="N252" s="5"/>
      <c r="O252" s="5"/>
    </row>
    <row r="253" spans="2:15" ht="9.75" customHeight="1" x14ac:dyDescent="0.2">
      <c r="B253" s="5"/>
      <c r="C253" s="5"/>
      <c r="E253" s="5"/>
      <c r="H253" s="5"/>
      <c r="J253" s="5"/>
      <c r="K253" s="5"/>
      <c r="L253" s="5"/>
      <c r="M253" s="5"/>
      <c r="N253" s="5"/>
      <c r="O253" s="5"/>
    </row>
    <row r="254" spans="2:15" ht="9.75" customHeight="1" x14ac:dyDescent="0.2">
      <c r="B254" s="5"/>
      <c r="C254" s="5"/>
      <c r="E254" s="5"/>
      <c r="H254" s="5"/>
      <c r="J254" s="5"/>
      <c r="K254" s="5"/>
      <c r="L254" s="5"/>
      <c r="M254" s="5"/>
      <c r="N254" s="5"/>
      <c r="O254" s="5"/>
    </row>
    <row r="255" spans="2:15" ht="9.75" customHeight="1" x14ac:dyDescent="0.2">
      <c r="B255" s="5"/>
      <c r="C255" s="5"/>
      <c r="E255" s="5"/>
      <c r="H255" s="5"/>
      <c r="J255" s="5"/>
      <c r="K255" s="5"/>
      <c r="L255" s="5"/>
      <c r="M255" s="5"/>
      <c r="N255" s="5"/>
      <c r="O255" s="5"/>
    </row>
    <row r="256" spans="2:15" ht="9.75" customHeight="1" x14ac:dyDescent="0.2">
      <c r="B256" s="5"/>
      <c r="C256" s="5"/>
      <c r="E256" s="5"/>
      <c r="H256" s="5"/>
      <c r="J256" s="5"/>
      <c r="K256" s="5"/>
      <c r="L256" s="5"/>
      <c r="M256" s="5"/>
      <c r="N256" s="5"/>
      <c r="O256" s="5"/>
    </row>
    <row r="257" spans="2:15" ht="9.75" customHeight="1" x14ac:dyDescent="0.2">
      <c r="B257" s="5"/>
      <c r="C257" s="5"/>
      <c r="E257" s="5"/>
      <c r="H257" s="5"/>
      <c r="J257" s="5"/>
      <c r="K257" s="5"/>
      <c r="L257" s="5"/>
      <c r="M257" s="5"/>
      <c r="N257" s="5"/>
      <c r="O257" s="5"/>
    </row>
    <row r="258" spans="2:15" ht="9.75" customHeight="1" x14ac:dyDescent="0.2">
      <c r="B258" s="5"/>
      <c r="C258" s="5"/>
      <c r="E258" s="5"/>
      <c r="H258" s="5"/>
      <c r="J258" s="5"/>
      <c r="K258" s="5"/>
      <c r="L258" s="5"/>
      <c r="M258" s="5"/>
      <c r="N258" s="5"/>
      <c r="O258" s="5"/>
    </row>
    <row r="259" spans="2:15" ht="9.75" customHeight="1" x14ac:dyDescent="0.2">
      <c r="B259" s="5"/>
      <c r="C259" s="5"/>
      <c r="E259" s="5"/>
      <c r="H259" s="5"/>
      <c r="J259" s="5"/>
      <c r="K259" s="5"/>
      <c r="L259" s="5"/>
      <c r="M259" s="5"/>
      <c r="N259" s="5"/>
      <c r="O259" s="5"/>
    </row>
    <row r="260" spans="2:15" ht="9.75" customHeight="1" x14ac:dyDescent="0.2">
      <c r="B260" s="5"/>
      <c r="C260" s="5"/>
      <c r="E260" s="5"/>
      <c r="H260" s="5"/>
      <c r="J260" s="5"/>
      <c r="K260" s="5"/>
      <c r="L260" s="5"/>
      <c r="M260" s="5"/>
      <c r="N260" s="5"/>
      <c r="O260" s="5"/>
    </row>
    <row r="261" spans="2:15" ht="9.75" customHeight="1" x14ac:dyDescent="0.2">
      <c r="B261" s="5"/>
      <c r="C261" s="5"/>
      <c r="E261" s="5"/>
      <c r="H261" s="5"/>
      <c r="J261" s="5"/>
      <c r="K261" s="5"/>
      <c r="L261" s="5"/>
      <c r="M261" s="5"/>
      <c r="N261" s="5"/>
      <c r="O261" s="5"/>
    </row>
    <row r="262" spans="2:15" ht="9.75" customHeight="1" x14ac:dyDescent="0.2">
      <c r="B262" s="5"/>
      <c r="C262" s="5"/>
      <c r="E262" s="5"/>
      <c r="H262" s="5"/>
      <c r="J262" s="5"/>
      <c r="K262" s="5"/>
      <c r="L262" s="5"/>
      <c r="M262" s="5"/>
      <c r="N262" s="5"/>
      <c r="O262" s="5"/>
    </row>
    <row r="263" spans="2:15" ht="9.75" customHeight="1" x14ac:dyDescent="0.2">
      <c r="B263" s="5"/>
      <c r="C263" s="5"/>
      <c r="E263" s="5"/>
      <c r="H263" s="5"/>
      <c r="J263" s="5"/>
      <c r="K263" s="5"/>
      <c r="L263" s="5"/>
      <c r="M263" s="5"/>
      <c r="N263" s="5"/>
      <c r="O263" s="5"/>
    </row>
    <row r="264" spans="2:15" ht="9.75" customHeight="1" x14ac:dyDescent="0.2">
      <c r="B264" s="5"/>
      <c r="C264" s="5"/>
      <c r="E264" s="5"/>
      <c r="H264" s="5"/>
      <c r="J264" s="5"/>
      <c r="K264" s="5"/>
      <c r="L264" s="5"/>
      <c r="M264" s="5"/>
      <c r="N264" s="5"/>
      <c r="O264" s="5"/>
    </row>
    <row r="265" spans="2:15" ht="9.75" customHeight="1" x14ac:dyDescent="0.2">
      <c r="B265" s="5"/>
      <c r="C265" s="5"/>
      <c r="E265" s="5"/>
      <c r="H265" s="5"/>
      <c r="J265" s="5"/>
      <c r="K265" s="5"/>
      <c r="L265" s="5"/>
      <c r="M265" s="5"/>
      <c r="N265" s="5"/>
      <c r="O265" s="5"/>
    </row>
    <row r="266" spans="2:15" ht="9.75" customHeight="1" x14ac:dyDescent="0.2">
      <c r="B266" s="5"/>
      <c r="C266" s="5"/>
      <c r="E266" s="5"/>
      <c r="H266" s="5"/>
      <c r="J266" s="5"/>
      <c r="K266" s="5"/>
      <c r="L266" s="5"/>
      <c r="M266" s="5"/>
      <c r="N266" s="5"/>
      <c r="O266" s="5"/>
    </row>
    <row r="267" spans="2:15" ht="9.75" customHeight="1" x14ac:dyDescent="0.2">
      <c r="B267" s="5"/>
      <c r="C267" s="5"/>
      <c r="E267" s="5"/>
      <c r="H267" s="5"/>
      <c r="J267" s="5"/>
      <c r="K267" s="5"/>
      <c r="L267" s="5"/>
      <c r="M267" s="5"/>
      <c r="N267" s="5"/>
      <c r="O267" s="5"/>
    </row>
    <row r="268" spans="2:15" ht="9.75" customHeight="1" x14ac:dyDescent="0.2">
      <c r="B268" s="5"/>
      <c r="C268" s="5"/>
      <c r="E268" s="5"/>
      <c r="H268" s="5"/>
      <c r="J268" s="5"/>
      <c r="K268" s="5"/>
      <c r="L268" s="5"/>
      <c r="M268" s="5"/>
      <c r="N268" s="5"/>
      <c r="O268" s="5"/>
    </row>
    <row r="269" spans="2:15" ht="9.75" customHeight="1" x14ac:dyDescent="0.2">
      <c r="B269" s="5"/>
      <c r="C269" s="5"/>
      <c r="E269" s="5"/>
      <c r="H269" s="5"/>
      <c r="J269" s="5"/>
      <c r="K269" s="5"/>
      <c r="L269" s="5"/>
      <c r="M269" s="5"/>
      <c r="N269" s="5"/>
      <c r="O269" s="5"/>
    </row>
    <row r="270" spans="2:15" ht="9.75" customHeight="1" x14ac:dyDescent="0.2">
      <c r="B270" s="5"/>
      <c r="C270" s="5"/>
      <c r="E270" s="5"/>
      <c r="H270" s="5"/>
      <c r="J270" s="5"/>
      <c r="K270" s="5"/>
      <c r="L270" s="5"/>
      <c r="M270" s="5"/>
      <c r="N270" s="5"/>
      <c r="O270" s="5"/>
    </row>
    <row r="271" spans="2:15" ht="9.75" customHeight="1" x14ac:dyDescent="0.2">
      <c r="B271" s="5"/>
      <c r="C271" s="5"/>
      <c r="E271" s="5"/>
      <c r="H271" s="5"/>
      <c r="J271" s="5"/>
      <c r="K271" s="5"/>
      <c r="L271" s="5"/>
      <c r="M271" s="5"/>
      <c r="N271" s="5"/>
      <c r="O271" s="5"/>
    </row>
    <row r="272" spans="2:15" ht="9.75" customHeight="1" x14ac:dyDescent="0.2">
      <c r="B272" s="5"/>
      <c r="C272" s="5"/>
      <c r="E272" s="5"/>
      <c r="H272" s="5"/>
      <c r="J272" s="5"/>
      <c r="K272" s="5"/>
      <c r="L272" s="5"/>
      <c r="M272" s="5"/>
      <c r="N272" s="5"/>
      <c r="O272" s="5"/>
    </row>
    <row r="273" spans="2:15" ht="9.75" customHeight="1" x14ac:dyDescent="0.2">
      <c r="B273" s="5"/>
      <c r="C273" s="5"/>
      <c r="E273" s="5"/>
      <c r="H273" s="5"/>
      <c r="J273" s="5"/>
      <c r="K273" s="5"/>
      <c r="L273" s="5"/>
      <c r="M273" s="5"/>
      <c r="N273" s="5"/>
      <c r="O273" s="5"/>
    </row>
    <row r="274" spans="2:15" ht="9.75" customHeight="1" x14ac:dyDescent="0.2">
      <c r="B274" s="5"/>
      <c r="C274" s="5"/>
      <c r="E274" s="5"/>
      <c r="H274" s="5"/>
      <c r="J274" s="5"/>
      <c r="K274" s="5"/>
      <c r="L274" s="5"/>
      <c r="M274" s="5"/>
      <c r="N274" s="5"/>
      <c r="O274" s="5"/>
    </row>
    <row r="275" spans="2:15" ht="9.75" customHeight="1" x14ac:dyDescent="0.2">
      <c r="B275" s="5"/>
      <c r="C275" s="5"/>
      <c r="E275" s="5"/>
      <c r="H275" s="5"/>
      <c r="J275" s="5"/>
      <c r="K275" s="5"/>
      <c r="L275" s="5"/>
      <c r="M275" s="5"/>
      <c r="N275" s="5"/>
      <c r="O275" s="5"/>
    </row>
    <row r="276" spans="2:15" ht="9.75" customHeight="1" x14ac:dyDescent="0.2">
      <c r="B276" s="5"/>
      <c r="C276" s="5"/>
      <c r="E276" s="5"/>
      <c r="H276" s="5"/>
      <c r="J276" s="5"/>
      <c r="K276" s="5"/>
      <c r="L276" s="5"/>
      <c r="M276" s="5"/>
      <c r="N276" s="5"/>
      <c r="O276" s="5"/>
    </row>
    <row r="277" spans="2:15" ht="9.75" customHeight="1" x14ac:dyDescent="0.2">
      <c r="B277" s="5"/>
      <c r="C277" s="5"/>
      <c r="E277" s="5"/>
      <c r="H277" s="5"/>
      <c r="J277" s="5"/>
      <c r="K277" s="5"/>
      <c r="L277" s="5"/>
      <c r="M277" s="5"/>
      <c r="N277" s="5"/>
      <c r="O277" s="5"/>
    </row>
    <row r="278" spans="2:15" ht="9.75" customHeight="1" x14ac:dyDescent="0.2">
      <c r="B278" s="5"/>
      <c r="C278" s="5"/>
      <c r="E278" s="5"/>
      <c r="H278" s="5"/>
      <c r="J278" s="5"/>
      <c r="K278" s="5"/>
      <c r="L278" s="5"/>
      <c r="M278" s="5"/>
      <c r="N278" s="5"/>
      <c r="O278" s="5"/>
    </row>
    <row r="279" spans="2:15" ht="9.75" customHeight="1" x14ac:dyDescent="0.2">
      <c r="B279" s="5"/>
      <c r="C279" s="5"/>
      <c r="E279" s="5"/>
      <c r="H279" s="5"/>
      <c r="J279" s="5"/>
      <c r="K279" s="5"/>
      <c r="L279" s="5"/>
      <c r="M279" s="5"/>
      <c r="N279" s="5"/>
      <c r="O279" s="5"/>
    </row>
    <row r="280" spans="2:15" ht="9.75" customHeight="1" x14ac:dyDescent="0.2">
      <c r="B280" s="5"/>
      <c r="C280" s="5"/>
      <c r="E280" s="5"/>
      <c r="H280" s="5"/>
      <c r="J280" s="5"/>
      <c r="K280" s="5"/>
      <c r="L280" s="5"/>
      <c r="M280" s="5"/>
      <c r="N280" s="5"/>
      <c r="O280" s="5"/>
    </row>
    <row r="281" spans="2:15" ht="9.75" customHeight="1" x14ac:dyDescent="0.2">
      <c r="B281" s="5"/>
      <c r="C281" s="5"/>
      <c r="E281" s="5"/>
      <c r="H281" s="5"/>
      <c r="J281" s="5"/>
      <c r="K281" s="5"/>
      <c r="L281" s="5"/>
      <c r="M281" s="5"/>
      <c r="N281" s="5"/>
      <c r="O281" s="5"/>
    </row>
    <row r="282" spans="2:15" ht="9.75" customHeight="1" x14ac:dyDescent="0.2">
      <c r="B282" s="5"/>
      <c r="C282" s="5"/>
      <c r="E282" s="5"/>
      <c r="H282" s="5"/>
      <c r="J282" s="5"/>
      <c r="K282" s="5"/>
      <c r="L282" s="5"/>
      <c r="M282" s="5"/>
      <c r="N282" s="5"/>
      <c r="O282" s="5"/>
    </row>
    <row r="283" spans="2:15" ht="9.75" customHeight="1" x14ac:dyDescent="0.2">
      <c r="B283" s="5"/>
      <c r="C283" s="5"/>
      <c r="E283" s="5"/>
      <c r="H283" s="5"/>
      <c r="J283" s="5"/>
      <c r="K283" s="5"/>
      <c r="L283" s="5"/>
      <c r="M283" s="5"/>
      <c r="N283" s="5"/>
      <c r="O283" s="5"/>
    </row>
    <row r="284" spans="2:15" ht="9.75" customHeight="1" x14ac:dyDescent="0.2">
      <c r="B284" s="5"/>
      <c r="C284" s="5"/>
      <c r="E284" s="5"/>
      <c r="H284" s="5"/>
      <c r="J284" s="5"/>
      <c r="K284" s="5"/>
      <c r="L284" s="5"/>
      <c r="M284" s="5"/>
      <c r="N284" s="5"/>
      <c r="O284" s="5"/>
    </row>
    <row r="285" spans="2:15" ht="9.75" customHeight="1" x14ac:dyDescent="0.2">
      <c r="B285" s="5"/>
      <c r="C285" s="5"/>
      <c r="E285" s="5"/>
      <c r="H285" s="5"/>
      <c r="J285" s="5"/>
      <c r="K285" s="5"/>
      <c r="L285" s="5"/>
      <c r="M285" s="5"/>
      <c r="N285" s="5"/>
      <c r="O285" s="5"/>
    </row>
    <row r="286" spans="2:15" ht="9.75" customHeight="1" x14ac:dyDescent="0.2">
      <c r="B286" s="5"/>
      <c r="C286" s="5"/>
      <c r="E286" s="5"/>
      <c r="H286" s="5"/>
      <c r="J286" s="5"/>
      <c r="K286" s="5"/>
      <c r="L286" s="5"/>
      <c r="M286" s="5"/>
      <c r="N286" s="5"/>
      <c r="O286" s="5"/>
    </row>
    <row r="287" spans="2:15" ht="9.75" customHeight="1" x14ac:dyDescent="0.2">
      <c r="B287" s="5"/>
      <c r="C287" s="5"/>
      <c r="E287" s="5"/>
      <c r="H287" s="5"/>
      <c r="J287" s="5"/>
      <c r="K287" s="5"/>
      <c r="L287" s="5"/>
      <c r="M287" s="5"/>
      <c r="N287" s="5"/>
      <c r="O287" s="5"/>
    </row>
    <row r="288" spans="2:15" ht="9.75" customHeight="1" x14ac:dyDescent="0.2">
      <c r="B288" s="5"/>
      <c r="C288" s="5"/>
      <c r="E288" s="5"/>
      <c r="H288" s="5"/>
      <c r="J288" s="5"/>
      <c r="K288" s="5"/>
      <c r="L288" s="5"/>
      <c r="M288" s="5"/>
      <c r="N288" s="5"/>
      <c r="O288" s="5"/>
    </row>
    <row r="289" spans="2:15" ht="9.75" customHeight="1" x14ac:dyDescent="0.2">
      <c r="B289" s="5"/>
      <c r="C289" s="5"/>
      <c r="E289" s="5"/>
      <c r="H289" s="5"/>
      <c r="J289" s="5"/>
      <c r="K289" s="5"/>
      <c r="L289" s="5"/>
      <c r="M289" s="5"/>
      <c r="N289" s="5"/>
      <c r="O289" s="5"/>
    </row>
    <row r="290" spans="2:15" ht="9.75" customHeight="1" x14ac:dyDescent="0.2">
      <c r="B290" s="5"/>
      <c r="C290" s="5"/>
      <c r="E290" s="5"/>
      <c r="H290" s="5"/>
      <c r="J290" s="5"/>
      <c r="K290" s="5"/>
      <c r="L290" s="5"/>
      <c r="M290" s="5"/>
      <c r="N290" s="5"/>
      <c r="O290" s="5"/>
    </row>
    <row r="291" spans="2:15" ht="9.75" customHeight="1" x14ac:dyDescent="0.2">
      <c r="B291" s="5"/>
      <c r="C291" s="5"/>
      <c r="E291" s="5"/>
      <c r="H291" s="5"/>
      <c r="J291" s="5"/>
      <c r="K291" s="5"/>
      <c r="L291" s="5"/>
      <c r="M291" s="5"/>
      <c r="N291" s="5"/>
      <c r="O291" s="5"/>
    </row>
    <row r="292" spans="2:15" ht="9.75" customHeight="1" x14ac:dyDescent="0.2">
      <c r="B292" s="5"/>
      <c r="C292" s="5"/>
      <c r="E292" s="5"/>
      <c r="H292" s="5"/>
      <c r="J292" s="5"/>
      <c r="K292" s="5"/>
      <c r="L292" s="5"/>
      <c r="M292" s="5"/>
      <c r="N292" s="5"/>
      <c r="O292" s="5"/>
    </row>
    <row r="293" spans="2:15" ht="9.75" customHeight="1" x14ac:dyDescent="0.2">
      <c r="B293" s="5"/>
      <c r="C293" s="5"/>
      <c r="E293" s="5"/>
      <c r="H293" s="5"/>
      <c r="J293" s="5"/>
      <c r="K293" s="5"/>
      <c r="L293" s="5"/>
      <c r="M293" s="5"/>
      <c r="N293" s="5"/>
      <c r="O293" s="5"/>
    </row>
    <row r="294" spans="2:15" ht="9.75" customHeight="1" x14ac:dyDescent="0.2">
      <c r="B294" s="5"/>
      <c r="C294" s="5"/>
      <c r="E294" s="5"/>
      <c r="H294" s="5"/>
      <c r="J294" s="5"/>
      <c r="K294" s="5"/>
      <c r="L294" s="5"/>
      <c r="M294" s="5"/>
      <c r="N294" s="5"/>
      <c r="O294" s="5"/>
    </row>
    <row r="295" spans="2:15" ht="9.75" customHeight="1" x14ac:dyDescent="0.2">
      <c r="B295" s="5"/>
      <c r="C295" s="5"/>
      <c r="E295" s="5"/>
      <c r="H295" s="5"/>
      <c r="J295" s="5"/>
      <c r="K295" s="5"/>
      <c r="L295" s="5"/>
      <c r="M295" s="5"/>
      <c r="N295" s="5"/>
      <c r="O295" s="5"/>
    </row>
    <row r="296" spans="2:15" ht="9.75" customHeight="1" x14ac:dyDescent="0.2">
      <c r="B296" s="5"/>
      <c r="C296" s="5"/>
      <c r="E296" s="5"/>
      <c r="H296" s="5"/>
      <c r="J296" s="5"/>
      <c r="K296" s="5"/>
      <c r="L296" s="5"/>
      <c r="M296" s="5"/>
      <c r="N296" s="5"/>
      <c r="O296" s="5"/>
    </row>
    <row r="297" spans="2:15" ht="9.75" customHeight="1" x14ac:dyDescent="0.2">
      <c r="B297" s="5"/>
      <c r="C297" s="5"/>
      <c r="E297" s="5"/>
      <c r="H297" s="5"/>
      <c r="J297" s="5"/>
      <c r="K297" s="5"/>
      <c r="L297" s="5"/>
      <c r="M297" s="5"/>
      <c r="N297" s="5"/>
      <c r="O297" s="5"/>
    </row>
    <row r="298" spans="2:15" ht="9.75" customHeight="1" x14ac:dyDescent="0.2">
      <c r="B298" s="5"/>
      <c r="C298" s="5"/>
      <c r="E298" s="5"/>
      <c r="H298" s="5"/>
      <c r="J298" s="5"/>
      <c r="K298" s="5"/>
      <c r="L298" s="5"/>
      <c r="M298" s="5"/>
      <c r="N298" s="5"/>
      <c r="O298" s="5"/>
    </row>
    <row r="299" spans="2:15" ht="9.75" customHeight="1" x14ac:dyDescent="0.2">
      <c r="B299" s="5"/>
      <c r="C299" s="5"/>
      <c r="E299" s="5"/>
      <c r="H299" s="5"/>
      <c r="J299" s="5"/>
      <c r="K299" s="5"/>
      <c r="L299" s="5"/>
      <c r="M299" s="5"/>
      <c r="N299" s="5"/>
      <c r="O299" s="5"/>
    </row>
    <row r="300" spans="2:15" ht="9.75" customHeight="1" x14ac:dyDescent="0.2">
      <c r="B300" s="5"/>
      <c r="C300" s="5"/>
      <c r="E300" s="5"/>
      <c r="H300" s="5"/>
      <c r="J300" s="5"/>
      <c r="K300" s="5"/>
      <c r="L300" s="5"/>
      <c r="M300" s="5"/>
      <c r="N300" s="5"/>
      <c r="O300" s="5"/>
    </row>
    <row r="301" spans="2:15" ht="9.75" customHeight="1" x14ac:dyDescent="0.2">
      <c r="B301" s="5"/>
      <c r="C301" s="5"/>
      <c r="E301" s="5"/>
      <c r="H301" s="5"/>
      <c r="J301" s="5"/>
      <c r="K301" s="5"/>
      <c r="L301" s="5"/>
      <c r="M301" s="5"/>
      <c r="N301" s="5"/>
      <c r="O301" s="5"/>
    </row>
    <row r="302" spans="2:15" ht="9.75" customHeight="1" x14ac:dyDescent="0.2">
      <c r="B302" s="5"/>
      <c r="C302" s="5"/>
      <c r="E302" s="5"/>
      <c r="H302" s="5"/>
      <c r="J302" s="5"/>
      <c r="K302" s="5"/>
      <c r="L302" s="5"/>
      <c r="M302" s="5"/>
      <c r="N302" s="5"/>
      <c r="O302" s="5"/>
    </row>
    <row r="303" spans="2:15" ht="9.75" customHeight="1" x14ac:dyDescent="0.2">
      <c r="B303" s="5"/>
      <c r="C303" s="5"/>
      <c r="E303" s="5"/>
      <c r="H303" s="5"/>
      <c r="J303" s="5"/>
      <c r="K303" s="5"/>
      <c r="L303" s="5"/>
      <c r="M303" s="5"/>
      <c r="N303" s="5"/>
      <c r="O303" s="5"/>
    </row>
    <row r="304" spans="2:15" ht="9.75" customHeight="1" x14ac:dyDescent="0.2">
      <c r="B304" s="5"/>
      <c r="C304" s="5"/>
      <c r="E304" s="5"/>
      <c r="H304" s="5"/>
      <c r="J304" s="5"/>
      <c r="K304" s="5"/>
      <c r="L304" s="5"/>
      <c r="M304" s="5"/>
      <c r="N304" s="5"/>
      <c r="O304" s="5"/>
    </row>
    <row r="305" spans="2:15" ht="9.75" customHeight="1" x14ac:dyDescent="0.2">
      <c r="B305" s="5"/>
      <c r="C305" s="5"/>
      <c r="E305" s="5"/>
      <c r="H305" s="5"/>
      <c r="J305" s="5"/>
      <c r="K305" s="5"/>
      <c r="L305" s="5"/>
      <c r="M305" s="5"/>
      <c r="N305" s="5"/>
      <c r="O305" s="5"/>
    </row>
    <row r="306" spans="2:15" ht="9.75" customHeight="1" x14ac:dyDescent="0.2">
      <c r="B306" s="5"/>
      <c r="C306" s="5"/>
      <c r="E306" s="5"/>
      <c r="H306" s="5"/>
      <c r="J306" s="5"/>
      <c r="K306" s="5"/>
      <c r="L306" s="5"/>
      <c r="M306" s="5"/>
      <c r="N306" s="5"/>
      <c r="O306" s="5"/>
    </row>
    <row r="307" spans="2:15" ht="9.75" customHeight="1" x14ac:dyDescent="0.2">
      <c r="B307" s="5"/>
      <c r="C307" s="5"/>
      <c r="E307" s="5"/>
      <c r="H307" s="5"/>
      <c r="J307" s="5"/>
      <c r="K307" s="5"/>
      <c r="L307" s="5"/>
      <c r="M307" s="5"/>
      <c r="N307" s="5"/>
      <c r="O307" s="5"/>
    </row>
    <row r="308" spans="2:15" ht="9.75" customHeight="1" x14ac:dyDescent="0.2">
      <c r="B308" s="5"/>
      <c r="C308" s="5"/>
      <c r="E308" s="5"/>
      <c r="H308" s="5"/>
      <c r="J308" s="5"/>
      <c r="K308" s="5"/>
      <c r="L308" s="5"/>
      <c r="M308" s="5"/>
      <c r="N308" s="5"/>
      <c r="O308" s="5"/>
    </row>
    <row r="309" spans="2:15" ht="9.75" customHeight="1" x14ac:dyDescent="0.2">
      <c r="B309" s="5"/>
      <c r="C309" s="5"/>
      <c r="E309" s="5"/>
      <c r="H309" s="5"/>
      <c r="J309" s="5"/>
      <c r="K309" s="5"/>
      <c r="L309" s="5"/>
      <c r="M309" s="5"/>
      <c r="N309" s="5"/>
      <c r="O309" s="5"/>
    </row>
    <row r="310" spans="2:15" ht="9.75" customHeight="1" x14ac:dyDescent="0.2">
      <c r="B310" s="5"/>
      <c r="C310" s="5"/>
      <c r="E310" s="5"/>
      <c r="H310" s="5"/>
      <c r="J310" s="5"/>
      <c r="K310" s="5"/>
      <c r="L310" s="5"/>
      <c r="M310" s="5"/>
      <c r="N310" s="5"/>
      <c r="O310" s="5"/>
    </row>
    <row r="311" spans="2:15" ht="9.75" customHeight="1" x14ac:dyDescent="0.2">
      <c r="B311" s="5"/>
      <c r="C311" s="5"/>
      <c r="E311" s="5"/>
      <c r="H311" s="5"/>
      <c r="J311" s="5"/>
      <c r="K311" s="5"/>
      <c r="L311" s="5"/>
      <c r="M311" s="5"/>
      <c r="N311" s="5"/>
      <c r="O311" s="5"/>
    </row>
    <row r="312" spans="2:15" ht="9.75" customHeight="1" x14ac:dyDescent="0.2">
      <c r="B312" s="5"/>
      <c r="C312" s="5"/>
      <c r="E312" s="5"/>
      <c r="H312" s="5"/>
      <c r="J312" s="5"/>
      <c r="K312" s="5"/>
      <c r="L312" s="5"/>
      <c r="M312" s="5"/>
      <c r="N312" s="5"/>
      <c r="O312" s="5"/>
    </row>
    <row r="313" spans="2:15" ht="9.75" customHeight="1" x14ac:dyDescent="0.2">
      <c r="B313" s="5"/>
      <c r="C313" s="5"/>
      <c r="E313" s="5"/>
      <c r="H313" s="5"/>
      <c r="J313" s="5"/>
      <c r="K313" s="5"/>
      <c r="L313" s="5"/>
      <c r="M313" s="5"/>
      <c r="N313" s="5"/>
      <c r="O313" s="5"/>
    </row>
    <row r="314" spans="2:15" ht="9.75" customHeight="1" x14ac:dyDescent="0.2">
      <c r="B314" s="5"/>
      <c r="C314" s="5"/>
      <c r="E314" s="5"/>
      <c r="H314" s="5"/>
      <c r="J314" s="5"/>
      <c r="K314" s="5"/>
      <c r="L314" s="5"/>
      <c r="M314" s="5"/>
      <c r="N314" s="5"/>
      <c r="O314" s="5"/>
    </row>
    <row r="315" spans="2:15" ht="9.75" customHeight="1" x14ac:dyDescent="0.2">
      <c r="B315" s="5"/>
      <c r="C315" s="5"/>
      <c r="E315" s="5"/>
      <c r="H315" s="5"/>
      <c r="J315" s="5"/>
      <c r="K315" s="5"/>
      <c r="L315" s="5"/>
      <c r="M315" s="5"/>
      <c r="N315" s="5"/>
      <c r="O315" s="5"/>
    </row>
    <row r="316" spans="2:15" ht="9.75" customHeight="1" x14ac:dyDescent="0.2">
      <c r="B316" s="5"/>
      <c r="C316" s="5"/>
      <c r="E316" s="5"/>
      <c r="H316" s="5"/>
      <c r="J316" s="5"/>
      <c r="K316" s="5"/>
      <c r="L316" s="5"/>
      <c r="M316" s="5"/>
      <c r="N316" s="5"/>
      <c r="O316" s="5"/>
    </row>
    <row r="317" spans="2:15" ht="9.75" customHeight="1" x14ac:dyDescent="0.2">
      <c r="B317" s="5"/>
      <c r="C317" s="5"/>
      <c r="E317" s="5"/>
      <c r="H317" s="5"/>
      <c r="J317" s="5"/>
      <c r="K317" s="5"/>
      <c r="L317" s="5"/>
      <c r="M317" s="5"/>
      <c r="N317" s="5"/>
      <c r="O317" s="5"/>
    </row>
    <row r="318" spans="2:15" ht="9.75" customHeight="1" x14ac:dyDescent="0.2">
      <c r="B318" s="5"/>
      <c r="C318" s="5"/>
      <c r="E318" s="5"/>
      <c r="H318" s="5"/>
      <c r="J318" s="5"/>
      <c r="K318" s="5"/>
      <c r="L318" s="5"/>
      <c r="M318" s="5"/>
      <c r="N318" s="5"/>
      <c r="O318" s="5"/>
    </row>
    <row r="319" spans="2:15" ht="9.75" customHeight="1" x14ac:dyDescent="0.2">
      <c r="B319" s="5"/>
      <c r="C319" s="5"/>
      <c r="E319" s="5"/>
      <c r="H319" s="5"/>
      <c r="J319" s="5"/>
      <c r="K319" s="5"/>
      <c r="L319" s="5"/>
      <c r="M319" s="5"/>
      <c r="N319" s="5"/>
      <c r="O319" s="5"/>
    </row>
    <row r="320" spans="2:15" ht="9.75" customHeight="1" x14ac:dyDescent="0.2">
      <c r="B320" s="5"/>
      <c r="C320" s="5"/>
      <c r="E320" s="5"/>
      <c r="H320" s="5"/>
      <c r="J320" s="5"/>
      <c r="K320" s="5"/>
      <c r="L320" s="5"/>
      <c r="M320" s="5"/>
      <c r="N320" s="5"/>
      <c r="O320" s="5"/>
    </row>
    <row r="321" spans="2:15" ht="9.75" customHeight="1" x14ac:dyDescent="0.2">
      <c r="B321" s="5"/>
      <c r="C321" s="5"/>
      <c r="E321" s="5"/>
      <c r="H321" s="5"/>
      <c r="J321" s="5"/>
      <c r="K321" s="5"/>
      <c r="L321" s="5"/>
      <c r="M321" s="5"/>
      <c r="N321" s="5"/>
      <c r="O321" s="5"/>
    </row>
    <row r="322" spans="2:15" ht="9.75" customHeight="1" x14ac:dyDescent="0.2">
      <c r="B322" s="5"/>
      <c r="C322" s="5"/>
      <c r="E322" s="5"/>
      <c r="H322" s="5"/>
      <c r="J322" s="5"/>
      <c r="K322" s="5"/>
      <c r="L322" s="5"/>
      <c r="M322" s="5"/>
      <c r="N322" s="5"/>
      <c r="O322" s="5"/>
    </row>
    <row r="323" spans="2:15" ht="9.75" customHeight="1" x14ac:dyDescent="0.2">
      <c r="B323" s="5"/>
      <c r="C323" s="5"/>
      <c r="E323" s="5"/>
      <c r="H323" s="5"/>
      <c r="J323" s="5"/>
      <c r="K323" s="5"/>
      <c r="L323" s="5"/>
      <c r="M323" s="5"/>
      <c r="N323" s="5"/>
      <c r="O323" s="5"/>
    </row>
    <row r="324" spans="2:15" ht="9.75" customHeight="1" x14ac:dyDescent="0.2">
      <c r="B324" s="5"/>
      <c r="C324" s="5"/>
      <c r="E324" s="5"/>
      <c r="H324" s="5"/>
      <c r="J324" s="5"/>
      <c r="K324" s="5"/>
      <c r="L324" s="5"/>
      <c r="M324" s="5"/>
      <c r="N324" s="5"/>
      <c r="O324" s="5"/>
    </row>
    <row r="325" spans="2:15" ht="9.75" customHeight="1" x14ac:dyDescent="0.2">
      <c r="B325" s="5"/>
      <c r="C325" s="5"/>
      <c r="E325" s="5"/>
      <c r="H325" s="5"/>
      <c r="J325" s="5"/>
      <c r="K325" s="5"/>
      <c r="L325" s="5"/>
      <c r="M325" s="5"/>
      <c r="N325" s="5"/>
      <c r="O325" s="5"/>
    </row>
    <row r="326" spans="2:15" ht="9.75" customHeight="1" x14ac:dyDescent="0.2">
      <c r="B326" s="5"/>
      <c r="C326" s="5"/>
      <c r="E326" s="5"/>
      <c r="H326" s="5"/>
      <c r="J326" s="5"/>
      <c r="K326" s="5"/>
      <c r="L326" s="5"/>
      <c r="M326" s="5"/>
      <c r="N326" s="5"/>
      <c r="O326" s="5"/>
    </row>
    <row r="327" spans="2:15" ht="9.75" customHeight="1" x14ac:dyDescent="0.2">
      <c r="B327" s="5"/>
      <c r="C327" s="5"/>
      <c r="E327" s="5"/>
      <c r="H327" s="5"/>
      <c r="J327" s="5"/>
      <c r="K327" s="5"/>
      <c r="L327" s="5"/>
      <c r="M327" s="5"/>
      <c r="N327" s="5"/>
      <c r="O327" s="5"/>
    </row>
    <row r="328" spans="2:15" ht="9.75" customHeight="1" x14ac:dyDescent="0.2">
      <c r="B328" s="5"/>
      <c r="C328" s="5"/>
      <c r="E328" s="5"/>
      <c r="H328" s="5"/>
      <c r="J328" s="5"/>
      <c r="K328" s="5"/>
      <c r="L328" s="5"/>
      <c r="M328" s="5"/>
      <c r="N328" s="5"/>
      <c r="O328" s="5"/>
    </row>
    <row r="329" spans="2:15" ht="9.75" customHeight="1" x14ac:dyDescent="0.2">
      <c r="B329" s="5"/>
      <c r="C329" s="5"/>
      <c r="E329" s="5"/>
      <c r="H329" s="5"/>
      <c r="J329" s="5"/>
      <c r="K329" s="5"/>
      <c r="L329" s="5"/>
      <c r="M329" s="5"/>
      <c r="N329" s="5"/>
      <c r="O329" s="5"/>
    </row>
    <row r="330" spans="2:15" ht="9.75" customHeight="1" x14ac:dyDescent="0.2">
      <c r="B330" s="5"/>
      <c r="C330" s="5"/>
      <c r="E330" s="5"/>
      <c r="H330" s="5"/>
      <c r="J330" s="5"/>
      <c r="K330" s="5"/>
      <c r="L330" s="5"/>
      <c r="M330" s="5"/>
      <c r="N330" s="5"/>
      <c r="O330" s="5"/>
    </row>
    <row r="331" spans="2:15" ht="9.75" customHeight="1" x14ac:dyDescent="0.2">
      <c r="B331" s="5"/>
      <c r="C331" s="5"/>
      <c r="E331" s="5"/>
      <c r="H331" s="5"/>
      <c r="J331" s="5"/>
      <c r="K331" s="5"/>
      <c r="L331" s="5"/>
      <c r="M331" s="5"/>
      <c r="N331" s="5"/>
      <c r="O331" s="5"/>
    </row>
    <row r="332" spans="2:15" ht="9.75" customHeight="1" x14ac:dyDescent="0.2">
      <c r="B332" s="5"/>
      <c r="C332" s="5"/>
      <c r="E332" s="5"/>
      <c r="H332" s="5"/>
      <c r="J332" s="5"/>
      <c r="K332" s="5"/>
      <c r="L332" s="5"/>
      <c r="M332" s="5"/>
      <c r="N332" s="5"/>
      <c r="O332" s="5"/>
    </row>
    <row r="333" spans="2:15" ht="9.75" customHeight="1" x14ac:dyDescent="0.2">
      <c r="B333" s="5"/>
      <c r="C333" s="5"/>
      <c r="E333" s="5"/>
      <c r="H333" s="5"/>
      <c r="J333" s="5"/>
      <c r="K333" s="5"/>
      <c r="L333" s="5"/>
      <c r="M333" s="5"/>
      <c r="N333" s="5"/>
      <c r="O333" s="5"/>
    </row>
    <row r="334" spans="2:15" ht="9.75" customHeight="1" x14ac:dyDescent="0.2">
      <c r="B334" s="5"/>
      <c r="C334" s="5"/>
      <c r="E334" s="5"/>
      <c r="H334" s="5"/>
      <c r="J334" s="5"/>
      <c r="K334" s="5"/>
      <c r="L334" s="5"/>
      <c r="M334" s="5"/>
      <c r="N334" s="5"/>
      <c r="O334" s="5"/>
    </row>
    <row r="335" spans="2:15" ht="9.75" customHeight="1" x14ac:dyDescent="0.2">
      <c r="B335" s="5"/>
      <c r="C335" s="5"/>
      <c r="E335" s="5"/>
      <c r="H335" s="5"/>
      <c r="J335" s="5"/>
      <c r="K335" s="5"/>
      <c r="L335" s="5"/>
      <c r="M335" s="5"/>
      <c r="N335" s="5"/>
      <c r="O335" s="5"/>
    </row>
    <row r="336" spans="2:15" ht="9.75" customHeight="1" x14ac:dyDescent="0.2">
      <c r="B336" s="5"/>
      <c r="C336" s="5"/>
      <c r="E336" s="5"/>
      <c r="H336" s="5"/>
      <c r="J336" s="5"/>
      <c r="K336" s="5"/>
      <c r="L336" s="5"/>
      <c r="M336" s="5"/>
      <c r="N336" s="5"/>
      <c r="O336" s="5"/>
    </row>
    <row r="337" spans="2:15" ht="9.75" customHeight="1" x14ac:dyDescent="0.2">
      <c r="B337" s="5"/>
      <c r="C337" s="5"/>
      <c r="E337" s="5"/>
      <c r="H337" s="5"/>
      <c r="J337" s="5"/>
      <c r="K337" s="5"/>
      <c r="L337" s="5"/>
      <c r="M337" s="5"/>
      <c r="N337" s="5"/>
      <c r="O337" s="5"/>
    </row>
    <row r="338" spans="2:15" ht="9.75" customHeight="1" x14ac:dyDescent="0.2">
      <c r="B338" s="5"/>
      <c r="C338" s="5"/>
      <c r="E338" s="5"/>
      <c r="H338" s="5"/>
      <c r="J338" s="5"/>
      <c r="K338" s="5"/>
      <c r="L338" s="5"/>
      <c r="M338" s="5"/>
      <c r="N338" s="5"/>
      <c r="O338" s="5"/>
    </row>
    <row r="339" spans="2:15" ht="9.75" customHeight="1" x14ac:dyDescent="0.2">
      <c r="B339" s="5"/>
      <c r="C339" s="5"/>
      <c r="E339" s="5"/>
      <c r="H339" s="5"/>
      <c r="J339" s="5"/>
      <c r="K339" s="5"/>
      <c r="L339" s="5"/>
      <c r="M339" s="5"/>
      <c r="N339" s="5"/>
      <c r="O339" s="5"/>
    </row>
    <row r="340" spans="2:15" ht="9.75" customHeight="1" x14ac:dyDescent="0.2">
      <c r="B340" s="5"/>
      <c r="C340" s="5"/>
      <c r="E340" s="5"/>
      <c r="H340" s="5"/>
      <c r="J340" s="5"/>
      <c r="K340" s="5"/>
      <c r="L340" s="5"/>
      <c r="M340" s="5"/>
      <c r="N340" s="5"/>
      <c r="O340" s="5"/>
    </row>
    <row r="341" spans="2:15" ht="9.75" customHeight="1" x14ac:dyDescent="0.2">
      <c r="B341" s="5"/>
      <c r="C341" s="5"/>
      <c r="E341" s="5"/>
      <c r="H341" s="5"/>
      <c r="J341" s="5"/>
      <c r="K341" s="5"/>
      <c r="L341" s="5"/>
      <c r="M341" s="5"/>
      <c r="N341" s="5"/>
      <c r="O341" s="5"/>
    </row>
    <row r="342" spans="2:15" ht="9.75" customHeight="1" x14ac:dyDescent="0.2">
      <c r="B342" s="5"/>
      <c r="C342" s="5"/>
      <c r="E342" s="5"/>
      <c r="H342" s="5"/>
      <c r="J342" s="5"/>
      <c r="K342" s="5"/>
      <c r="L342" s="5"/>
      <c r="M342" s="5"/>
      <c r="N342" s="5"/>
      <c r="O342" s="5"/>
    </row>
    <row r="343" spans="2:15" ht="9.75" customHeight="1" x14ac:dyDescent="0.2">
      <c r="B343" s="5"/>
      <c r="C343" s="5"/>
      <c r="E343" s="5"/>
      <c r="H343" s="5"/>
      <c r="J343" s="5"/>
      <c r="K343" s="5"/>
      <c r="L343" s="5"/>
      <c r="M343" s="5"/>
      <c r="N343" s="5"/>
      <c r="O343" s="5"/>
    </row>
    <row r="344" spans="2:15" ht="9.75" customHeight="1" x14ac:dyDescent="0.2">
      <c r="B344" s="5"/>
      <c r="C344" s="5"/>
      <c r="E344" s="5"/>
      <c r="H344" s="5"/>
      <c r="J344" s="5"/>
      <c r="K344" s="5"/>
      <c r="L344" s="5"/>
      <c r="M344" s="5"/>
      <c r="N344" s="5"/>
      <c r="O344" s="5"/>
    </row>
    <row r="345" spans="2:15" ht="9.75" customHeight="1" x14ac:dyDescent="0.2">
      <c r="B345" s="5"/>
      <c r="C345" s="5"/>
      <c r="E345" s="5"/>
      <c r="H345" s="5"/>
      <c r="J345" s="5"/>
      <c r="K345" s="5"/>
      <c r="L345" s="5"/>
      <c r="M345" s="5"/>
      <c r="N345" s="5"/>
      <c r="O345" s="5"/>
    </row>
    <row r="346" spans="2:15" ht="9.75" customHeight="1" x14ac:dyDescent="0.2">
      <c r="B346" s="5"/>
      <c r="C346" s="5"/>
      <c r="E346" s="5"/>
      <c r="H346" s="5"/>
      <c r="J346" s="5"/>
      <c r="K346" s="5"/>
      <c r="L346" s="5"/>
      <c r="M346" s="5"/>
      <c r="N346" s="5"/>
      <c r="O346" s="5"/>
    </row>
    <row r="347" spans="2:15" ht="9.75" customHeight="1" x14ac:dyDescent="0.2">
      <c r="B347" s="5"/>
      <c r="C347" s="5"/>
      <c r="E347" s="5"/>
      <c r="H347" s="5"/>
      <c r="J347" s="5"/>
      <c r="K347" s="5"/>
      <c r="L347" s="5"/>
      <c r="M347" s="5"/>
      <c r="N347" s="5"/>
      <c r="O347" s="5"/>
    </row>
    <row r="348" spans="2:15" ht="9.75" customHeight="1" x14ac:dyDescent="0.2">
      <c r="B348" s="5"/>
      <c r="C348" s="5"/>
      <c r="E348" s="5"/>
      <c r="H348" s="5"/>
      <c r="J348" s="5"/>
      <c r="K348" s="5"/>
      <c r="L348" s="5"/>
      <c r="M348" s="5"/>
      <c r="N348" s="5"/>
      <c r="O348" s="5"/>
    </row>
    <row r="349" spans="2:15" ht="9.75" customHeight="1" x14ac:dyDescent="0.2">
      <c r="B349" s="5"/>
      <c r="C349" s="5"/>
      <c r="E349" s="5"/>
      <c r="H349" s="5"/>
      <c r="J349" s="5"/>
      <c r="K349" s="5"/>
      <c r="L349" s="5"/>
      <c r="M349" s="5"/>
      <c r="N349" s="5"/>
      <c r="O349" s="5"/>
    </row>
    <row r="350" spans="2:15" ht="9.75" customHeight="1" x14ac:dyDescent="0.2">
      <c r="B350" s="5"/>
      <c r="C350" s="5"/>
      <c r="E350" s="5"/>
      <c r="H350" s="5"/>
      <c r="J350" s="5"/>
      <c r="K350" s="5"/>
      <c r="L350" s="5"/>
      <c r="M350" s="5"/>
      <c r="N350" s="5"/>
      <c r="O350" s="5"/>
    </row>
    <row r="351" spans="2:15" ht="9.75" customHeight="1" x14ac:dyDescent="0.2">
      <c r="B351" s="5"/>
      <c r="C351" s="5"/>
      <c r="E351" s="5"/>
      <c r="H351" s="5"/>
      <c r="J351" s="5"/>
      <c r="K351" s="5"/>
      <c r="L351" s="5"/>
      <c r="M351" s="5"/>
      <c r="N351" s="5"/>
      <c r="O351" s="5"/>
    </row>
    <row r="352" spans="2:15" ht="9.75" customHeight="1" x14ac:dyDescent="0.2">
      <c r="B352" s="5"/>
      <c r="C352" s="5"/>
      <c r="E352" s="5"/>
      <c r="H352" s="5"/>
      <c r="J352" s="5"/>
      <c r="K352" s="5"/>
      <c r="L352" s="5"/>
      <c r="M352" s="5"/>
      <c r="N352" s="5"/>
      <c r="O352" s="5"/>
    </row>
    <row r="353" spans="2:15" ht="9.75" customHeight="1" x14ac:dyDescent="0.2">
      <c r="B353" s="5"/>
      <c r="C353" s="5"/>
      <c r="E353" s="5"/>
      <c r="H353" s="5"/>
      <c r="J353" s="5"/>
      <c r="K353" s="5"/>
      <c r="L353" s="5"/>
      <c r="M353" s="5"/>
      <c r="N353" s="5"/>
      <c r="O353" s="5"/>
    </row>
    <row r="354" spans="2:15" ht="9.75" customHeight="1" x14ac:dyDescent="0.2">
      <c r="B354" s="5"/>
      <c r="C354" s="5"/>
      <c r="E354" s="5"/>
      <c r="H354" s="5"/>
      <c r="J354" s="5"/>
      <c r="K354" s="5"/>
      <c r="L354" s="5"/>
      <c r="M354" s="5"/>
      <c r="N354" s="5"/>
      <c r="O354" s="5"/>
    </row>
    <row r="355" spans="2:15" ht="9.75" customHeight="1" x14ac:dyDescent="0.2">
      <c r="B355" s="5"/>
      <c r="C355" s="5"/>
      <c r="E355" s="5"/>
      <c r="H355" s="5"/>
      <c r="J355" s="5"/>
      <c r="K355" s="5"/>
      <c r="L355" s="5"/>
      <c r="M355" s="5"/>
      <c r="N355" s="5"/>
      <c r="O355" s="5"/>
    </row>
    <row r="356" spans="2:15" ht="9.75" customHeight="1" x14ac:dyDescent="0.2">
      <c r="B356" s="5"/>
      <c r="C356" s="5"/>
      <c r="E356" s="5"/>
      <c r="H356" s="5"/>
      <c r="J356" s="5"/>
      <c r="K356" s="5"/>
      <c r="L356" s="5"/>
      <c r="M356" s="5"/>
      <c r="N356" s="5"/>
      <c r="O356" s="5"/>
    </row>
    <row r="357" spans="2:15" ht="9.75" customHeight="1" x14ac:dyDescent="0.2">
      <c r="B357" s="5"/>
      <c r="C357" s="5"/>
      <c r="E357" s="5"/>
      <c r="H357" s="5"/>
      <c r="J357" s="5"/>
      <c r="K357" s="5"/>
      <c r="L357" s="5"/>
      <c r="M357" s="5"/>
      <c r="N357" s="5"/>
      <c r="O357" s="5"/>
    </row>
    <row r="358" spans="2:15" ht="9.75" customHeight="1" x14ac:dyDescent="0.2">
      <c r="B358" s="5"/>
      <c r="C358" s="5"/>
      <c r="E358" s="5"/>
      <c r="H358" s="5"/>
      <c r="J358" s="5"/>
      <c r="K358" s="5"/>
      <c r="L358" s="5"/>
      <c r="M358" s="5"/>
      <c r="N358" s="5"/>
      <c r="O358" s="5"/>
    </row>
    <row r="359" spans="2:15" ht="9.75" customHeight="1" x14ac:dyDescent="0.2">
      <c r="B359" s="5"/>
      <c r="C359" s="5"/>
      <c r="E359" s="5"/>
      <c r="H359" s="5"/>
      <c r="J359" s="5"/>
      <c r="K359" s="5"/>
      <c r="L359" s="5"/>
      <c r="M359" s="5"/>
      <c r="N359" s="5"/>
      <c r="O359" s="5"/>
    </row>
    <row r="360" spans="2:15" ht="9.75" customHeight="1" x14ac:dyDescent="0.2">
      <c r="B360" s="5"/>
      <c r="C360" s="5"/>
      <c r="E360" s="5"/>
      <c r="H360" s="5"/>
      <c r="J360" s="5"/>
      <c r="K360" s="5"/>
      <c r="L360" s="5"/>
      <c r="M360" s="5"/>
      <c r="N360" s="5"/>
      <c r="O360" s="5"/>
    </row>
    <row r="361" spans="2:15" ht="9.75" customHeight="1" x14ac:dyDescent="0.2">
      <c r="B361" s="5"/>
      <c r="C361" s="5"/>
      <c r="E361" s="5"/>
      <c r="H361" s="5"/>
      <c r="J361" s="5"/>
      <c r="K361" s="5"/>
      <c r="L361" s="5"/>
      <c r="M361" s="5"/>
      <c r="N361" s="5"/>
      <c r="O361" s="5"/>
    </row>
    <row r="362" spans="2:15" ht="9.75" customHeight="1" x14ac:dyDescent="0.2">
      <c r="B362" s="5"/>
      <c r="C362" s="5"/>
      <c r="E362" s="5"/>
      <c r="H362" s="5"/>
      <c r="J362" s="5"/>
      <c r="K362" s="5"/>
      <c r="L362" s="5"/>
      <c r="M362" s="5"/>
      <c r="N362" s="5"/>
      <c r="O362" s="5"/>
    </row>
    <row r="363" spans="2:15" ht="9.75" customHeight="1" x14ac:dyDescent="0.2">
      <c r="B363" s="5"/>
      <c r="C363" s="5"/>
      <c r="E363" s="5"/>
      <c r="H363" s="5"/>
      <c r="J363" s="5"/>
      <c r="K363" s="5"/>
      <c r="L363" s="5"/>
      <c r="M363" s="5"/>
      <c r="N363" s="5"/>
      <c r="O363" s="5"/>
    </row>
    <row r="364" spans="2:15" ht="9.75" customHeight="1" x14ac:dyDescent="0.2">
      <c r="B364" s="5"/>
      <c r="C364" s="5"/>
      <c r="E364" s="5"/>
      <c r="H364" s="5"/>
      <c r="J364" s="5"/>
      <c r="K364" s="5"/>
      <c r="L364" s="5"/>
      <c r="M364" s="5"/>
      <c r="N364" s="5"/>
      <c r="O364" s="5"/>
    </row>
    <row r="365" spans="2:15" ht="9.75" customHeight="1" x14ac:dyDescent="0.2">
      <c r="B365" s="5"/>
      <c r="C365" s="5"/>
      <c r="E365" s="5"/>
      <c r="H365" s="5"/>
      <c r="J365" s="5"/>
      <c r="K365" s="5"/>
      <c r="L365" s="5"/>
      <c r="M365" s="5"/>
      <c r="N365" s="5"/>
      <c r="O365" s="5"/>
    </row>
    <row r="366" spans="2:15" ht="9.75" customHeight="1" x14ac:dyDescent="0.2">
      <c r="B366" s="5"/>
      <c r="C366" s="5"/>
      <c r="E366" s="5"/>
      <c r="H366" s="5"/>
      <c r="J366" s="5"/>
      <c r="K366" s="5"/>
      <c r="L366" s="5"/>
      <c r="M366" s="5"/>
      <c r="N366" s="5"/>
      <c r="O366" s="5"/>
    </row>
    <row r="367" spans="2:15" ht="9.75" customHeight="1" x14ac:dyDescent="0.2">
      <c r="B367" s="5"/>
      <c r="C367" s="5"/>
      <c r="E367" s="5"/>
      <c r="H367" s="5"/>
      <c r="J367" s="5"/>
      <c r="K367" s="5"/>
      <c r="L367" s="5"/>
      <c r="M367" s="5"/>
      <c r="N367" s="5"/>
      <c r="O367" s="5"/>
    </row>
    <row r="368" spans="2:15" ht="9.75" customHeight="1" x14ac:dyDescent="0.2">
      <c r="B368" s="5"/>
      <c r="C368" s="5"/>
      <c r="E368" s="5"/>
      <c r="H368" s="5"/>
      <c r="J368" s="5"/>
      <c r="K368" s="5"/>
      <c r="L368" s="5"/>
      <c r="M368" s="5"/>
      <c r="N368" s="5"/>
      <c r="O368" s="5"/>
    </row>
    <row r="369" spans="2:15" ht="9.75" customHeight="1" x14ac:dyDescent="0.2">
      <c r="B369" s="5"/>
      <c r="C369" s="5"/>
      <c r="E369" s="5"/>
      <c r="H369" s="5"/>
      <c r="J369" s="5"/>
      <c r="K369" s="5"/>
      <c r="L369" s="5"/>
      <c r="M369" s="5"/>
      <c r="N369" s="5"/>
      <c r="O369" s="5"/>
    </row>
    <row r="370" spans="2:15" ht="9.75" customHeight="1" x14ac:dyDescent="0.2">
      <c r="B370" s="5"/>
      <c r="C370" s="5"/>
      <c r="E370" s="5"/>
      <c r="H370" s="5"/>
      <c r="J370" s="5"/>
      <c r="K370" s="5"/>
      <c r="L370" s="5"/>
      <c r="M370" s="5"/>
      <c r="N370" s="5"/>
      <c r="O370" s="5"/>
    </row>
    <row r="371" spans="2:15" ht="9.75" customHeight="1" x14ac:dyDescent="0.2">
      <c r="B371" s="5"/>
      <c r="C371" s="5"/>
      <c r="E371" s="5"/>
      <c r="H371" s="5"/>
      <c r="J371" s="5"/>
      <c r="K371" s="5"/>
      <c r="L371" s="5"/>
      <c r="M371" s="5"/>
      <c r="N371" s="5"/>
      <c r="O371" s="5"/>
    </row>
    <row r="372" spans="2:15" ht="9.75" customHeight="1" x14ac:dyDescent="0.2">
      <c r="B372" s="5"/>
      <c r="C372" s="5"/>
      <c r="E372" s="5"/>
      <c r="H372" s="5"/>
      <c r="J372" s="5"/>
      <c r="K372" s="5"/>
      <c r="L372" s="5"/>
      <c r="M372" s="5"/>
      <c r="N372" s="5"/>
      <c r="O372" s="5"/>
    </row>
    <row r="373" spans="2:15" ht="9.75" customHeight="1" x14ac:dyDescent="0.2">
      <c r="B373" s="5"/>
      <c r="C373" s="5"/>
      <c r="E373" s="5"/>
      <c r="H373" s="5"/>
      <c r="J373" s="5"/>
      <c r="K373" s="5"/>
      <c r="L373" s="5"/>
      <c r="M373" s="5"/>
      <c r="N373" s="5"/>
      <c r="O373" s="5"/>
    </row>
    <row r="374" spans="2:15" ht="9.75" customHeight="1" x14ac:dyDescent="0.2">
      <c r="B374" s="5"/>
      <c r="C374" s="5"/>
      <c r="E374" s="5"/>
      <c r="H374" s="5"/>
      <c r="J374" s="5"/>
      <c r="K374" s="5"/>
      <c r="L374" s="5"/>
      <c r="M374" s="5"/>
      <c r="N374" s="5"/>
      <c r="O374" s="5"/>
    </row>
    <row r="375" spans="2:15" ht="9.75" customHeight="1" x14ac:dyDescent="0.2">
      <c r="B375" s="5"/>
      <c r="C375" s="5"/>
      <c r="E375" s="5"/>
      <c r="H375" s="5"/>
      <c r="J375" s="5"/>
      <c r="K375" s="5"/>
      <c r="L375" s="5"/>
      <c r="M375" s="5"/>
      <c r="N375" s="5"/>
      <c r="O375" s="5"/>
    </row>
    <row r="376" spans="2:15" ht="9.75" customHeight="1" x14ac:dyDescent="0.2">
      <c r="B376" s="5"/>
      <c r="C376" s="5"/>
      <c r="E376" s="5"/>
      <c r="H376" s="5"/>
      <c r="J376" s="5"/>
      <c r="K376" s="5"/>
      <c r="L376" s="5"/>
      <c r="M376" s="5"/>
      <c r="N376" s="5"/>
      <c r="O376" s="5"/>
    </row>
    <row r="377" spans="2:15" ht="9.75" customHeight="1" x14ac:dyDescent="0.2">
      <c r="B377" s="5"/>
      <c r="C377" s="5"/>
      <c r="E377" s="5"/>
      <c r="H377" s="5"/>
      <c r="J377" s="5"/>
      <c r="K377" s="5"/>
      <c r="L377" s="5"/>
      <c r="M377" s="5"/>
      <c r="N377" s="5"/>
      <c r="O377" s="5"/>
    </row>
    <row r="378" spans="2:15" ht="9.75" customHeight="1" x14ac:dyDescent="0.2">
      <c r="B378" s="5"/>
      <c r="C378" s="5"/>
      <c r="E378" s="5"/>
      <c r="H378" s="5"/>
      <c r="J378" s="5"/>
      <c r="K378" s="5"/>
      <c r="L378" s="5"/>
      <c r="M378" s="5"/>
      <c r="N378" s="5"/>
      <c r="O378" s="5"/>
    </row>
    <row r="379" spans="2:15" ht="9.75" customHeight="1" x14ac:dyDescent="0.2">
      <c r="B379" s="5"/>
      <c r="C379" s="5"/>
      <c r="E379" s="5"/>
      <c r="H379" s="5"/>
      <c r="J379" s="5"/>
      <c r="K379" s="5"/>
      <c r="L379" s="5"/>
      <c r="M379" s="5"/>
      <c r="N379" s="5"/>
      <c r="O379" s="5"/>
    </row>
    <row r="380" spans="2:15" ht="9.75" customHeight="1" x14ac:dyDescent="0.2">
      <c r="B380" s="5"/>
      <c r="C380" s="5"/>
      <c r="E380" s="5"/>
      <c r="H380" s="5"/>
      <c r="J380" s="5"/>
      <c r="K380" s="5"/>
      <c r="L380" s="5"/>
      <c r="M380" s="5"/>
      <c r="N380" s="5"/>
      <c r="O380" s="5"/>
    </row>
    <row r="381" spans="2:15" ht="9.75" customHeight="1" x14ac:dyDescent="0.2">
      <c r="B381" s="5"/>
      <c r="C381" s="5"/>
      <c r="E381" s="5"/>
      <c r="H381" s="5"/>
      <c r="J381" s="5"/>
      <c r="K381" s="5"/>
      <c r="L381" s="5"/>
      <c r="M381" s="5"/>
      <c r="N381" s="5"/>
      <c r="O381" s="5"/>
    </row>
    <row r="382" spans="2:15" ht="9.75" customHeight="1" x14ac:dyDescent="0.2">
      <c r="B382" s="5"/>
      <c r="C382" s="5"/>
      <c r="E382" s="5"/>
      <c r="H382" s="5"/>
      <c r="J382" s="5"/>
      <c r="K382" s="5"/>
      <c r="L382" s="5"/>
      <c r="M382" s="5"/>
      <c r="N382" s="5"/>
      <c r="O382" s="5"/>
    </row>
    <row r="383" spans="2:15" ht="9.75" customHeight="1" x14ac:dyDescent="0.2">
      <c r="B383" s="5"/>
      <c r="C383" s="5"/>
      <c r="E383" s="5"/>
      <c r="H383" s="5"/>
      <c r="J383" s="5"/>
      <c r="K383" s="5"/>
      <c r="L383" s="5"/>
      <c r="M383" s="5"/>
      <c r="N383" s="5"/>
      <c r="O383" s="5"/>
    </row>
    <row r="384" spans="2:15" ht="9.75" customHeight="1" x14ac:dyDescent="0.2">
      <c r="B384" s="5"/>
      <c r="C384" s="5"/>
      <c r="E384" s="5"/>
      <c r="H384" s="5"/>
      <c r="J384" s="5"/>
      <c r="K384" s="5"/>
      <c r="L384" s="5"/>
      <c r="M384" s="5"/>
      <c r="N384" s="5"/>
      <c r="O384" s="5"/>
    </row>
    <row r="385" spans="2:15" ht="9.75" customHeight="1" x14ac:dyDescent="0.2">
      <c r="B385" s="5"/>
      <c r="C385" s="5"/>
      <c r="E385" s="5"/>
      <c r="H385" s="5"/>
      <c r="J385" s="5"/>
      <c r="K385" s="5"/>
      <c r="L385" s="5"/>
      <c r="M385" s="5"/>
      <c r="N385" s="5"/>
      <c r="O385" s="5"/>
    </row>
    <row r="386" spans="2:15" ht="9.75" customHeight="1" x14ac:dyDescent="0.2">
      <c r="B386" s="5"/>
      <c r="C386" s="5"/>
      <c r="E386" s="5"/>
      <c r="H386" s="5"/>
      <c r="J386" s="5"/>
      <c r="K386" s="5"/>
      <c r="L386" s="5"/>
      <c r="M386" s="5"/>
      <c r="N386" s="5"/>
      <c r="O386" s="5"/>
    </row>
    <row r="387" spans="2:15" ht="9.75" customHeight="1" x14ac:dyDescent="0.2">
      <c r="B387" s="5"/>
      <c r="C387" s="5"/>
      <c r="E387" s="5"/>
      <c r="H387" s="5"/>
      <c r="J387" s="5"/>
      <c r="K387" s="5"/>
      <c r="L387" s="5"/>
      <c r="M387" s="5"/>
      <c r="N387" s="5"/>
      <c r="O387" s="5"/>
    </row>
    <row r="388" spans="2:15" ht="9.75" customHeight="1" x14ac:dyDescent="0.2">
      <c r="B388" s="5"/>
      <c r="C388" s="5"/>
      <c r="E388" s="5"/>
      <c r="H388" s="5"/>
      <c r="J388" s="5"/>
      <c r="K388" s="5"/>
      <c r="L388" s="5"/>
      <c r="M388" s="5"/>
      <c r="N388" s="5"/>
      <c r="O388" s="5"/>
    </row>
    <row r="389" spans="2:15" ht="9.75" customHeight="1" x14ac:dyDescent="0.2">
      <c r="B389" s="5"/>
      <c r="C389" s="5"/>
      <c r="E389" s="5"/>
      <c r="H389" s="5"/>
      <c r="J389" s="5"/>
      <c r="K389" s="5"/>
      <c r="L389" s="5"/>
      <c r="M389" s="5"/>
      <c r="N389" s="5"/>
      <c r="O389" s="5"/>
    </row>
    <row r="390" spans="2:15" ht="9.75" customHeight="1" x14ac:dyDescent="0.2">
      <c r="B390" s="5"/>
      <c r="C390" s="5"/>
      <c r="E390" s="5"/>
      <c r="H390" s="5"/>
      <c r="J390" s="5"/>
      <c r="K390" s="5"/>
      <c r="L390" s="5"/>
      <c r="M390" s="5"/>
      <c r="N390" s="5"/>
      <c r="O390" s="5"/>
    </row>
    <row r="391" spans="2:15" ht="9.75" customHeight="1" x14ac:dyDescent="0.2">
      <c r="B391" s="5"/>
      <c r="C391" s="5"/>
      <c r="E391" s="5"/>
      <c r="H391" s="5"/>
      <c r="J391" s="5"/>
      <c r="K391" s="5"/>
      <c r="L391" s="5"/>
      <c r="M391" s="5"/>
      <c r="N391" s="5"/>
      <c r="O391" s="5"/>
    </row>
    <row r="392" spans="2:15" ht="9.75" customHeight="1" x14ac:dyDescent="0.2">
      <c r="B392" s="5"/>
      <c r="C392" s="5"/>
      <c r="E392" s="5"/>
      <c r="H392" s="5"/>
      <c r="J392" s="5"/>
      <c r="K392" s="5"/>
      <c r="L392" s="5"/>
      <c r="M392" s="5"/>
      <c r="N392" s="5"/>
      <c r="O392" s="5"/>
    </row>
    <row r="393" spans="2:15" ht="9.75" customHeight="1" x14ac:dyDescent="0.2">
      <c r="B393" s="5"/>
      <c r="C393" s="5"/>
      <c r="E393" s="5"/>
      <c r="H393" s="5"/>
      <c r="J393" s="5"/>
      <c r="K393" s="5"/>
      <c r="L393" s="5"/>
      <c r="M393" s="5"/>
      <c r="N393" s="5"/>
      <c r="O393" s="5"/>
    </row>
    <row r="394" spans="2:15" ht="9.75" customHeight="1" x14ac:dyDescent="0.2">
      <c r="B394" s="5"/>
      <c r="C394" s="5"/>
      <c r="E394" s="5"/>
      <c r="H394" s="5"/>
      <c r="J394" s="5"/>
      <c r="K394" s="5"/>
      <c r="L394" s="5"/>
      <c r="M394" s="5"/>
      <c r="N394" s="5"/>
      <c r="O394" s="5"/>
    </row>
    <row r="395" spans="2:15" ht="9.75" customHeight="1" x14ac:dyDescent="0.2">
      <c r="B395" s="5"/>
      <c r="C395" s="5"/>
      <c r="E395" s="5"/>
      <c r="H395" s="5"/>
      <c r="J395" s="5"/>
      <c r="K395" s="5"/>
      <c r="L395" s="5"/>
      <c r="M395" s="5"/>
      <c r="N395" s="5"/>
      <c r="O395" s="5"/>
    </row>
    <row r="396" spans="2:15" ht="9.75" customHeight="1" x14ac:dyDescent="0.2">
      <c r="B396" s="5"/>
      <c r="C396" s="5"/>
      <c r="E396" s="5"/>
      <c r="H396" s="5"/>
      <c r="J396" s="5"/>
      <c r="K396" s="5"/>
      <c r="L396" s="5"/>
      <c r="M396" s="5"/>
      <c r="N396" s="5"/>
      <c r="O396" s="5"/>
    </row>
    <row r="397" spans="2:15" ht="9.75" customHeight="1" x14ac:dyDescent="0.2">
      <c r="B397" s="5"/>
      <c r="C397" s="5"/>
      <c r="E397" s="5"/>
      <c r="H397" s="5"/>
      <c r="J397" s="5"/>
      <c r="K397" s="5"/>
      <c r="L397" s="5"/>
      <c r="M397" s="5"/>
      <c r="N397" s="5"/>
      <c r="O397" s="5"/>
    </row>
    <row r="398" spans="2:15" ht="9.75" customHeight="1" x14ac:dyDescent="0.2">
      <c r="B398" s="5"/>
      <c r="C398" s="5"/>
      <c r="E398" s="5"/>
      <c r="H398" s="5"/>
      <c r="J398" s="5"/>
      <c r="K398" s="5"/>
      <c r="L398" s="5"/>
      <c r="M398" s="5"/>
      <c r="N398" s="5"/>
      <c r="O398" s="5"/>
    </row>
    <row r="399" spans="2:15" ht="9.75" customHeight="1" x14ac:dyDescent="0.2">
      <c r="B399" s="5"/>
      <c r="C399" s="5"/>
      <c r="E399" s="5"/>
      <c r="H399" s="5"/>
      <c r="J399" s="5"/>
      <c r="K399" s="5"/>
      <c r="L399" s="5"/>
      <c r="M399" s="5"/>
      <c r="N399" s="5"/>
      <c r="O399" s="5"/>
    </row>
    <row r="400" spans="2:15" ht="9.75" customHeight="1" x14ac:dyDescent="0.2">
      <c r="B400" s="5"/>
      <c r="C400" s="5"/>
      <c r="E400" s="5"/>
      <c r="H400" s="5"/>
      <c r="J400" s="5"/>
      <c r="K400" s="5"/>
      <c r="L400" s="5"/>
      <c r="M400" s="5"/>
      <c r="N400" s="5"/>
      <c r="O400" s="5"/>
    </row>
    <row r="401" spans="2:15" ht="9.75" customHeight="1" x14ac:dyDescent="0.2">
      <c r="B401" s="5"/>
      <c r="C401" s="5"/>
      <c r="E401" s="5"/>
      <c r="H401" s="5"/>
      <c r="J401" s="5"/>
      <c r="K401" s="5"/>
      <c r="L401" s="5"/>
      <c r="M401" s="5"/>
      <c r="N401" s="5"/>
      <c r="O401" s="5"/>
    </row>
    <row r="402" spans="2:15" ht="9.75" customHeight="1" x14ac:dyDescent="0.2">
      <c r="B402" s="5"/>
      <c r="C402" s="5"/>
      <c r="E402" s="5"/>
      <c r="H402" s="5"/>
      <c r="J402" s="5"/>
      <c r="K402" s="5"/>
      <c r="L402" s="5"/>
      <c r="M402" s="5"/>
      <c r="N402" s="5"/>
      <c r="O402" s="5"/>
    </row>
    <row r="403" spans="2:15" ht="9.75" customHeight="1" x14ac:dyDescent="0.2">
      <c r="B403" s="5"/>
      <c r="C403" s="5"/>
      <c r="E403" s="5"/>
      <c r="H403" s="5"/>
      <c r="J403" s="5"/>
      <c r="K403" s="5"/>
      <c r="L403" s="5"/>
      <c r="M403" s="5"/>
      <c r="N403" s="5"/>
      <c r="O403" s="5"/>
    </row>
    <row r="404" spans="2:15" ht="9.75" customHeight="1" x14ac:dyDescent="0.2">
      <c r="B404" s="5"/>
      <c r="C404" s="5"/>
      <c r="E404" s="5"/>
      <c r="H404" s="5"/>
      <c r="J404" s="5"/>
      <c r="K404" s="5"/>
      <c r="L404" s="5"/>
      <c r="M404" s="5"/>
      <c r="N404" s="5"/>
      <c r="O404" s="5"/>
    </row>
    <row r="405" spans="2:15" ht="9.75" customHeight="1" x14ac:dyDescent="0.2">
      <c r="B405" s="5"/>
      <c r="C405" s="5"/>
      <c r="E405" s="5"/>
      <c r="H405" s="5"/>
      <c r="J405" s="5"/>
      <c r="K405" s="5"/>
      <c r="L405" s="5"/>
      <c r="M405" s="5"/>
      <c r="N405" s="5"/>
      <c r="O405" s="5"/>
    </row>
    <row r="406" spans="2:15" ht="9.75" customHeight="1" x14ac:dyDescent="0.2">
      <c r="B406" s="5"/>
      <c r="C406" s="5"/>
      <c r="E406" s="5"/>
      <c r="H406" s="5"/>
      <c r="J406" s="5"/>
      <c r="K406" s="5"/>
      <c r="L406" s="5"/>
      <c r="M406" s="5"/>
      <c r="N406" s="5"/>
      <c r="O406" s="5"/>
    </row>
    <row r="407" spans="2:15" ht="9.75" customHeight="1" x14ac:dyDescent="0.2">
      <c r="B407" s="5"/>
      <c r="C407" s="5"/>
      <c r="E407" s="5"/>
      <c r="H407" s="5"/>
      <c r="J407" s="5"/>
      <c r="K407" s="5"/>
      <c r="L407" s="5"/>
      <c r="M407" s="5"/>
      <c r="N407" s="5"/>
      <c r="O407" s="5"/>
    </row>
    <row r="408" spans="2:15" ht="9.75" customHeight="1" x14ac:dyDescent="0.2">
      <c r="B408" s="5"/>
      <c r="C408" s="5"/>
      <c r="E408" s="5"/>
      <c r="H408" s="5"/>
      <c r="J408" s="5"/>
      <c r="K408" s="5"/>
      <c r="L408" s="5"/>
      <c r="M408" s="5"/>
      <c r="N408" s="5"/>
      <c r="O408" s="5"/>
    </row>
    <row r="409" spans="2:15" ht="9.75" customHeight="1" x14ac:dyDescent="0.2">
      <c r="B409" s="5"/>
      <c r="C409" s="5"/>
      <c r="E409" s="5"/>
      <c r="H409" s="5"/>
      <c r="J409" s="5"/>
      <c r="K409" s="5"/>
      <c r="L409" s="5"/>
      <c r="M409" s="5"/>
      <c r="N409" s="5"/>
      <c r="O409" s="5"/>
    </row>
    <row r="410" spans="2:15" ht="9.75" customHeight="1" x14ac:dyDescent="0.2">
      <c r="B410" s="5"/>
      <c r="C410" s="5"/>
      <c r="E410" s="5"/>
      <c r="H410" s="5"/>
      <c r="J410" s="5"/>
      <c r="K410" s="5"/>
      <c r="L410" s="5"/>
      <c r="M410" s="5"/>
      <c r="N410" s="5"/>
      <c r="O410" s="5"/>
    </row>
    <row r="411" spans="2:15" ht="9.75" customHeight="1" x14ac:dyDescent="0.2">
      <c r="B411" s="5"/>
      <c r="C411" s="5"/>
      <c r="E411" s="5"/>
      <c r="H411" s="5"/>
      <c r="J411" s="5"/>
      <c r="K411" s="5"/>
      <c r="L411" s="5"/>
      <c r="M411" s="5"/>
      <c r="N411" s="5"/>
      <c r="O411" s="5"/>
    </row>
    <row r="412" spans="2:15" ht="9.75" customHeight="1" x14ac:dyDescent="0.2">
      <c r="B412" s="5"/>
      <c r="C412" s="5"/>
      <c r="E412" s="5"/>
      <c r="H412" s="5"/>
      <c r="J412" s="5"/>
      <c r="K412" s="5"/>
      <c r="L412" s="5"/>
      <c r="M412" s="5"/>
      <c r="N412" s="5"/>
      <c r="O412" s="5"/>
    </row>
    <row r="413" spans="2:15" ht="9.75" customHeight="1" x14ac:dyDescent="0.2">
      <c r="B413" s="5"/>
      <c r="C413" s="5"/>
      <c r="E413" s="5"/>
      <c r="H413" s="5"/>
      <c r="J413" s="5"/>
      <c r="K413" s="5"/>
      <c r="L413" s="5"/>
      <c r="M413" s="5"/>
      <c r="N413" s="5"/>
      <c r="O413" s="5"/>
    </row>
    <row r="414" spans="2:15" ht="9.75" customHeight="1" x14ac:dyDescent="0.2">
      <c r="B414" s="5"/>
      <c r="C414" s="5"/>
      <c r="E414" s="5"/>
      <c r="H414" s="5"/>
      <c r="J414" s="5"/>
      <c r="K414" s="5"/>
      <c r="L414" s="5"/>
      <c r="M414" s="5"/>
      <c r="N414" s="5"/>
      <c r="O414" s="5"/>
    </row>
    <row r="415" spans="2:15" ht="9.75" customHeight="1" x14ac:dyDescent="0.2">
      <c r="B415" s="5"/>
      <c r="C415" s="5"/>
      <c r="E415" s="5"/>
      <c r="H415" s="5"/>
      <c r="J415" s="5"/>
      <c r="K415" s="5"/>
      <c r="L415" s="5"/>
      <c r="M415" s="5"/>
      <c r="N415" s="5"/>
      <c r="O415" s="5"/>
    </row>
    <row r="416" spans="2:15" ht="9.75" customHeight="1" x14ac:dyDescent="0.2">
      <c r="B416" s="5"/>
      <c r="C416" s="5"/>
      <c r="E416" s="5"/>
      <c r="H416" s="5"/>
      <c r="J416" s="5"/>
      <c r="K416" s="5"/>
      <c r="L416" s="5"/>
      <c r="M416" s="5"/>
      <c r="N416" s="5"/>
      <c r="O416" s="5"/>
    </row>
    <row r="417" spans="2:15" ht="9.75" customHeight="1" x14ac:dyDescent="0.2">
      <c r="B417" s="5"/>
      <c r="C417" s="5"/>
      <c r="E417" s="5"/>
      <c r="H417" s="5"/>
      <c r="J417" s="5"/>
      <c r="K417" s="5"/>
      <c r="L417" s="5"/>
      <c r="M417" s="5"/>
      <c r="N417" s="5"/>
      <c r="O417" s="5"/>
    </row>
    <row r="418" spans="2:15" ht="9.75" customHeight="1" x14ac:dyDescent="0.2">
      <c r="B418" s="5"/>
      <c r="C418" s="5"/>
      <c r="E418" s="5"/>
      <c r="H418" s="5"/>
      <c r="J418" s="5"/>
      <c r="K418" s="5"/>
      <c r="L418" s="5"/>
      <c r="M418" s="5"/>
      <c r="N418" s="5"/>
      <c r="O418" s="5"/>
    </row>
    <row r="419" spans="2:15" ht="9.75" customHeight="1" x14ac:dyDescent="0.2">
      <c r="B419" s="5"/>
      <c r="C419" s="5"/>
      <c r="E419" s="5"/>
      <c r="H419" s="5"/>
      <c r="J419" s="5"/>
      <c r="K419" s="5"/>
      <c r="L419" s="5"/>
      <c r="M419" s="5"/>
      <c r="N419" s="5"/>
      <c r="O419" s="5"/>
    </row>
    <row r="420" spans="2:15" ht="9.75" customHeight="1" x14ac:dyDescent="0.2">
      <c r="B420" s="5"/>
      <c r="C420" s="5"/>
      <c r="E420" s="5"/>
      <c r="H420" s="5"/>
      <c r="J420" s="5"/>
      <c r="K420" s="5"/>
      <c r="L420" s="5"/>
      <c r="M420" s="5"/>
      <c r="N420" s="5"/>
      <c r="O420" s="5"/>
    </row>
    <row r="421" spans="2:15" ht="9.75" customHeight="1" x14ac:dyDescent="0.2">
      <c r="B421" s="5"/>
      <c r="C421" s="5"/>
      <c r="E421" s="5"/>
      <c r="H421" s="5"/>
      <c r="J421" s="5"/>
      <c r="K421" s="5"/>
      <c r="L421" s="5"/>
      <c r="M421" s="5"/>
      <c r="N421" s="5"/>
      <c r="O421" s="5"/>
    </row>
    <row r="422" spans="2:15" ht="9.75" customHeight="1" x14ac:dyDescent="0.2">
      <c r="B422" s="5"/>
      <c r="C422" s="5"/>
      <c r="E422" s="5"/>
      <c r="H422" s="5"/>
      <c r="J422" s="5"/>
      <c r="K422" s="5"/>
      <c r="L422" s="5"/>
      <c r="M422" s="5"/>
      <c r="N422" s="5"/>
      <c r="O422" s="5"/>
    </row>
    <row r="423" spans="2:15" ht="9.75" customHeight="1" x14ac:dyDescent="0.2">
      <c r="B423" s="5"/>
      <c r="C423" s="5"/>
      <c r="E423" s="5"/>
      <c r="H423" s="5"/>
      <c r="J423" s="5"/>
      <c r="K423" s="5"/>
      <c r="L423" s="5"/>
      <c r="M423" s="5"/>
      <c r="N423" s="5"/>
      <c r="O423" s="5"/>
    </row>
    <row r="424" spans="2:15" ht="9.75" customHeight="1" x14ac:dyDescent="0.2">
      <c r="B424" s="5"/>
      <c r="C424" s="5"/>
      <c r="E424" s="5"/>
      <c r="H424" s="5"/>
      <c r="J424" s="5"/>
      <c r="K424" s="5"/>
      <c r="L424" s="5"/>
      <c r="M424" s="5"/>
      <c r="N424" s="5"/>
      <c r="O424" s="5"/>
    </row>
    <row r="425" spans="2:15" ht="9.75" customHeight="1" x14ac:dyDescent="0.2">
      <c r="B425" s="5"/>
      <c r="C425" s="5"/>
      <c r="E425" s="5"/>
      <c r="H425" s="5"/>
      <c r="J425" s="5"/>
      <c r="K425" s="5"/>
      <c r="L425" s="5"/>
      <c r="M425" s="5"/>
      <c r="N425" s="5"/>
      <c r="O425" s="5"/>
    </row>
    <row r="426" spans="2:15" ht="9.75" customHeight="1" x14ac:dyDescent="0.2">
      <c r="B426" s="5"/>
      <c r="C426" s="5"/>
      <c r="E426" s="5"/>
      <c r="H426" s="5"/>
      <c r="J426" s="5"/>
      <c r="K426" s="5"/>
      <c r="L426" s="5"/>
      <c r="M426" s="5"/>
      <c r="N426" s="5"/>
      <c r="O426" s="5"/>
    </row>
    <row r="427" spans="2:15" ht="9.75" customHeight="1" x14ac:dyDescent="0.2">
      <c r="B427" s="5"/>
      <c r="C427" s="5"/>
      <c r="E427" s="5"/>
      <c r="H427" s="5"/>
      <c r="J427" s="5"/>
      <c r="K427" s="5"/>
      <c r="L427" s="5"/>
      <c r="M427" s="5"/>
      <c r="N427" s="5"/>
      <c r="O427" s="5"/>
    </row>
    <row r="428" spans="2:15" ht="9.75" customHeight="1" x14ac:dyDescent="0.2">
      <c r="B428" s="5"/>
      <c r="C428" s="5"/>
      <c r="E428" s="5"/>
      <c r="H428" s="5"/>
      <c r="J428" s="5"/>
      <c r="K428" s="5"/>
      <c r="L428" s="5"/>
      <c r="M428" s="5"/>
      <c r="N428" s="5"/>
      <c r="O428" s="5"/>
    </row>
    <row r="429" spans="2:15" ht="9.75" customHeight="1" x14ac:dyDescent="0.2">
      <c r="B429" s="5"/>
      <c r="C429" s="5"/>
      <c r="E429" s="5"/>
      <c r="H429" s="5"/>
      <c r="J429" s="5"/>
      <c r="K429" s="5"/>
      <c r="L429" s="5"/>
      <c r="M429" s="5"/>
      <c r="N429" s="5"/>
      <c r="O429" s="5"/>
    </row>
    <row r="430" spans="2:15" ht="9.75" customHeight="1" x14ac:dyDescent="0.2">
      <c r="B430" s="5"/>
      <c r="C430" s="5"/>
      <c r="E430" s="5"/>
      <c r="H430" s="5"/>
      <c r="J430" s="5"/>
      <c r="K430" s="5"/>
      <c r="L430" s="5"/>
      <c r="M430" s="5"/>
      <c r="N430" s="5"/>
      <c r="O430" s="5"/>
    </row>
    <row r="431" spans="2:15" ht="9.75" customHeight="1" x14ac:dyDescent="0.2">
      <c r="B431" s="5"/>
      <c r="C431" s="5"/>
      <c r="E431" s="5"/>
      <c r="H431" s="5"/>
      <c r="J431" s="5"/>
      <c r="K431" s="5"/>
      <c r="L431" s="5"/>
      <c r="M431" s="5"/>
      <c r="N431" s="5"/>
      <c r="O431" s="5"/>
    </row>
    <row r="432" spans="2:15" ht="9.75" customHeight="1" x14ac:dyDescent="0.2">
      <c r="B432" s="5"/>
      <c r="C432" s="5"/>
      <c r="E432" s="5"/>
      <c r="H432" s="5"/>
      <c r="J432" s="5"/>
      <c r="K432" s="5"/>
      <c r="L432" s="5"/>
      <c r="M432" s="5"/>
      <c r="N432" s="5"/>
      <c r="O432" s="5"/>
    </row>
    <row r="433" spans="2:15" ht="9.75" customHeight="1" x14ac:dyDescent="0.2">
      <c r="B433" s="5"/>
      <c r="C433" s="5"/>
      <c r="E433" s="5"/>
      <c r="H433" s="5"/>
      <c r="J433" s="5"/>
      <c r="K433" s="5"/>
      <c r="L433" s="5"/>
      <c r="M433" s="5"/>
      <c r="N433" s="5"/>
      <c r="O433" s="5"/>
    </row>
    <row r="434" spans="2:15" ht="9.75" customHeight="1" x14ac:dyDescent="0.2">
      <c r="B434" s="5"/>
      <c r="C434" s="5"/>
      <c r="E434" s="5"/>
      <c r="H434" s="5"/>
      <c r="J434" s="5"/>
      <c r="K434" s="5"/>
      <c r="L434" s="5"/>
      <c r="M434" s="5"/>
      <c r="N434" s="5"/>
      <c r="O434" s="5"/>
    </row>
    <row r="435" spans="2:15" ht="9.75" customHeight="1" x14ac:dyDescent="0.2">
      <c r="B435" s="5"/>
      <c r="C435" s="5"/>
      <c r="E435" s="5"/>
      <c r="H435" s="5"/>
      <c r="J435" s="5"/>
      <c r="K435" s="5"/>
      <c r="L435" s="5"/>
      <c r="M435" s="5"/>
      <c r="N435" s="5"/>
      <c r="O435" s="5"/>
    </row>
    <row r="436" spans="2:15" ht="9.75" customHeight="1" x14ac:dyDescent="0.2">
      <c r="B436" s="5"/>
      <c r="C436" s="5"/>
      <c r="E436" s="5"/>
      <c r="H436" s="5"/>
      <c r="J436" s="5"/>
      <c r="K436" s="5"/>
      <c r="L436" s="5"/>
      <c r="M436" s="5"/>
      <c r="N436" s="5"/>
      <c r="O436" s="5"/>
    </row>
    <row r="437" spans="2:15" ht="9.75" customHeight="1" x14ac:dyDescent="0.2">
      <c r="B437" s="5"/>
      <c r="C437" s="5"/>
      <c r="E437" s="5"/>
      <c r="H437" s="5"/>
      <c r="J437" s="5"/>
      <c r="K437" s="5"/>
      <c r="L437" s="5"/>
      <c r="M437" s="5"/>
      <c r="N437" s="5"/>
      <c r="O437" s="5"/>
    </row>
    <row r="438" spans="2:15" ht="9.75" customHeight="1" x14ac:dyDescent="0.2">
      <c r="B438" s="5"/>
      <c r="C438" s="5"/>
      <c r="E438" s="5"/>
      <c r="H438" s="5"/>
      <c r="J438" s="5"/>
      <c r="K438" s="5"/>
      <c r="L438" s="5"/>
      <c r="M438" s="5"/>
      <c r="N438" s="5"/>
      <c r="O438" s="5"/>
    </row>
    <row r="439" spans="2:15" ht="9.75" customHeight="1" x14ac:dyDescent="0.2">
      <c r="B439" s="5"/>
      <c r="C439" s="5"/>
      <c r="E439" s="5"/>
      <c r="H439" s="5"/>
      <c r="J439" s="5"/>
      <c r="K439" s="5"/>
      <c r="L439" s="5"/>
      <c r="M439" s="5"/>
      <c r="N439" s="5"/>
      <c r="O439" s="5"/>
    </row>
    <row r="440" spans="2:15" ht="9.75" customHeight="1" x14ac:dyDescent="0.2">
      <c r="B440" s="5"/>
      <c r="C440" s="5"/>
      <c r="E440" s="5"/>
      <c r="H440" s="5"/>
      <c r="J440" s="5"/>
      <c r="K440" s="5"/>
      <c r="L440" s="5"/>
      <c r="M440" s="5"/>
      <c r="N440" s="5"/>
      <c r="O440" s="5"/>
    </row>
    <row r="441" spans="2:15" ht="9.75" customHeight="1" x14ac:dyDescent="0.2">
      <c r="B441" s="5"/>
      <c r="C441" s="5"/>
      <c r="E441" s="5"/>
      <c r="H441" s="5"/>
      <c r="J441" s="5"/>
      <c r="K441" s="5"/>
      <c r="L441" s="5"/>
      <c r="M441" s="5"/>
      <c r="N441" s="5"/>
      <c r="O441" s="5"/>
    </row>
    <row r="442" spans="2:15" ht="9.75" customHeight="1" x14ac:dyDescent="0.2">
      <c r="B442" s="5"/>
      <c r="C442" s="5"/>
      <c r="E442" s="5"/>
      <c r="H442" s="5"/>
      <c r="J442" s="5"/>
      <c r="K442" s="5"/>
      <c r="L442" s="5"/>
      <c r="M442" s="5"/>
      <c r="N442" s="5"/>
      <c r="O442" s="5"/>
    </row>
    <row r="443" spans="2:15" ht="9.75" customHeight="1" x14ac:dyDescent="0.2">
      <c r="B443" s="5"/>
      <c r="C443" s="5"/>
      <c r="E443" s="5"/>
      <c r="H443" s="5"/>
      <c r="J443" s="5"/>
      <c r="K443" s="5"/>
      <c r="L443" s="5"/>
      <c r="M443" s="5"/>
      <c r="N443" s="5"/>
      <c r="O443" s="5"/>
    </row>
    <row r="444" spans="2:15" ht="9.75" customHeight="1" x14ac:dyDescent="0.2">
      <c r="B444" s="5"/>
      <c r="C444" s="5"/>
      <c r="E444" s="5"/>
      <c r="H444" s="5"/>
      <c r="J444" s="5"/>
      <c r="K444" s="5"/>
      <c r="L444" s="5"/>
      <c r="M444" s="5"/>
      <c r="N444" s="5"/>
      <c r="O444" s="5"/>
    </row>
    <row r="445" spans="2:15" ht="9.75" customHeight="1" x14ac:dyDescent="0.2">
      <c r="B445" s="5"/>
      <c r="C445" s="5"/>
      <c r="E445" s="5"/>
      <c r="H445" s="5"/>
      <c r="J445" s="5"/>
      <c r="K445" s="5"/>
      <c r="L445" s="5"/>
      <c r="M445" s="5"/>
      <c r="N445" s="5"/>
      <c r="O445" s="5"/>
    </row>
    <row r="446" spans="2:15" ht="9.75" customHeight="1" x14ac:dyDescent="0.2">
      <c r="B446" s="5"/>
      <c r="C446" s="5"/>
      <c r="E446" s="5"/>
      <c r="H446" s="5"/>
      <c r="J446" s="5"/>
      <c r="K446" s="5"/>
      <c r="L446" s="5"/>
      <c r="M446" s="5"/>
      <c r="N446" s="5"/>
      <c r="O446" s="5"/>
    </row>
    <row r="447" spans="2:15" ht="9.75" customHeight="1" x14ac:dyDescent="0.2">
      <c r="B447" s="5"/>
      <c r="C447" s="5"/>
      <c r="E447" s="5"/>
      <c r="H447" s="5"/>
      <c r="J447" s="5"/>
      <c r="K447" s="5"/>
      <c r="L447" s="5"/>
      <c r="M447" s="5"/>
      <c r="N447" s="5"/>
      <c r="O447" s="5"/>
    </row>
    <row r="448" spans="2:15" ht="9.75" customHeight="1" x14ac:dyDescent="0.2">
      <c r="B448" s="5"/>
      <c r="C448" s="5"/>
      <c r="E448" s="5"/>
      <c r="H448" s="5"/>
      <c r="J448" s="5"/>
      <c r="K448" s="5"/>
      <c r="L448" s="5"/>
      <c r="M448" s="5"/>
      <c r="N448" s="5"/>
      <c r="O448" s="5"/>
    </row>
    <row r="449" spans="2:15" ht="9.75" customHeight="1" x14ac:dyDescent="0.2">
      <c r="B449" s="5"/>
      <c r="C449" s="5"/>
      <c r="E449" s="5"/>
      <c r="H449" s="5"/>
      <c r="J449" s="5"/>
      <c r="K449" s="5"/>
      <c r="L449" s="5"/>
      <c r="M449" s="5"/>
      <c r="N449" s="5"/>
      <c r="O449" s="5"/>
    </row>
    <row r="450" spans="2:15" ht="9.75" customHeight="1" x14ac:dyDescent="0.2">
      <c r="B450" s="5"/>
      <c r="C450" s="5"/>
      <c r="E450" s="5"/>
      <c r="H450" s="5"/>
      <c r="J450" s="5"/>
      <c r="K450" s="5"/>
      <c r="L450" s="5"/>
      <c r="M450" s="5"/>
      <c r="N450" s="5"/>
      <c r="O450" s="5"/>
    </row>
    <row r="451" spans="2:15" ht="9.75" customHeight="1" x14ac:dyDescent="0.2">
      <c r="B451" s="5"/>
      <c r="C451" s="5"/>
      <c r="E451" s="5"/>
      <c r="H451" s="5"/>
      <c r="J451" s="5"/>
      <c r="K451" s="5"/>
      <c r="L451" s="5"/>
      <c r="M451" s="5"/>
      <c r="N451" s="5"/>
      <c r="O451" s="5"/>
    </row>
    <row r="452" spans="2:15" ht="9.75" customHeight="1" x14ac:dyDescent="0.2">
      <c r="B452" s="5"/>
      <c r="C452" s="5"/>
      <c r="E452" s="5"/>
      <c r="H452" s="5"/>
      <c r="J452" s="5"/>
      <c r="K452" s="5"/>
      <c r="L452" s="5"/>
      <c r="M452" s="5"/>
      <c r="N452" s="5"/>
      <c r="O452" s="5"/>
    </row>
    <row r="453" spans="2:15" ht="9.75" customHeight="1" x14ac:dyDescent="0.2">
      <c r="B453" s="5"/>
      <c r="C453" s="5"/>
      <c r="E453" s="5"/>
      <c r="H453" s="5"/>
      <c r="J453" s="5"/>
      <c r="K453" s="5"/>
      <c r="L453" s="5"/>
      <c r="M453" s="5"/>
      <c r="N453" s="5"/>
      <c r="O453" s="5"/>
    </row>
    <row r="454" spans="2:15" ht="9.75" customHeight="1" x14ac:dyDescent="0.2">
      <c r="B454" s="5"/>
      <c r="C454" s="5"/>
      <c r="E454" s="5"/>
      <c r="H454" s="5"/>
      <c r="J454" s="5"/>
      <c r="K454" s="5"/>
      <c r="L454" s="5"/>
      <c r="M454" s="5"/>
      <c r="N454" s="5"/>
      <c r="O454" s="5"/>
    </row>
    <row r="455" spans="2:15" ht="9.75" customHeight="1" x14ac:dyDescent="0.2">
      <c r="B455" s="5"/>
      <c r="C455" s="5"/>
      <c r="E455" s="5"/>
      <c r="H455" s="5"/>
      <c r="J455" s="5"/>
      <c r="K455" s="5"/>
      <c r="L455" s="5"/>
      <c r="M455" s="5"/>
      <c r="N455" s="5"/>
      <c r="O455" s="5"/>
    </row>
    <row r="456" spans="2:15" ht="9.75" customHeight="1" x14ac:dyDescent="0.2">
      <c r="B456" s="5"/>
      <c r="C456" s="5"/>
      <c r="E456" s="5"/>
      <c r="H456" s="5"/>
      <c r="J456" s="5"/>
      <c r="K456" s="5"/>
      <c r="L456" s="5"/>
      <c r="M456" s="5"/>
      <c r="N456" s="5"/>
      <c r="O456" s="5"/>
    </row>
    <row r="457" spans="2:15" ht="9.75" customHeight="1" x14ac:dyDescent="0.2">
      <c r="B457" s="5"/>
      <c r="C457" s="5"/>
      <c r="E457" s="5"/>
      <c r="H457" s="5"/>
      <c r="J457" s="5"/>
      <c r="K457" s="5"/>
      <c r="L457" s="5"/>
      <c r="M457" s="5"/>
      <c r="N457" s="5"/>
      <c r="O457" s="5"/>
    </row>
    <row r="458" spans="2:15" ht="9.75" customHeight="1" x14ac:dyDescent="0.2">
      <c r="B458" s="5"/>
      <c r="C458" s="5"/>
      <c r="E458" s="5"/>
      <c r="H458" s="5"/>
      <c r="J458" s="5"/>
      <c r="K458" s="5"/>
      <c r="L458" s="5"/>
      <c r="M458" s="5"/>
      <c r="N458" s="5"/>
      <c r="O458" s="5"/>
    </row>
    <row r="459" spans="2:15" ht="9.75" customHeight="1" x14ac:dyDescent="0.2">
      <c r="B459" s="5"/>
      <c r="C459" s="5"/>
      <c r="E459" s="5"/>
      <c r="H459" s="5"/>
      <c r="J459" s="5"/>
      <c r="K459" s="5"/>
      <c r="L459" s="5"/>
      <c r="M459" s="5"/>
      <c r="N459" s="5"/>
      <c r="O459" s="5"/>
    </row>
    <row r="460" spans="2:15" ht="9.75" customHeight="1" x14ac:dyDescent="0.2">
      <c r="B460" s="5"/>
      <c r="C460" s="5"/>
      <c r="E460" s="5"/>
      <c r="H460" s="5"/>
      <c r="J460" s="5"/>
      <c r="K460" s="5"/>
      <c r="L460" s="5"/>
      <c r="M460" s="5"/>
      <c r="N460" s="5"/>
      <c r="O460" s="5"/>
    </row>
    <row r="461" spans="2:15" ht="9.75" customHeight="1" x14ac:dyDescent="0.2">
      <c r="B461" s="5"/>
      <c r="C461" s="5"/>
      <c r="E461" s="5"/>
      <c r="H461" s="5"/>
      <c r="J461" s="5"/>
      <c r="K461" s="5"/>
      <c r="L461" s="5"/>
      <c r="M461" s="5"/>
      <c r="N461" s="5"/>
      <c r="O461" s="5"/>
    </row>
    <row r="462" spans="2:15" ht="9.75" customHeight="1" x14ac:dyDescent="0.2">
      <c r="B462" s="5"/>
      <c r="C462" s="5"/>
      <c r="E462" s="5"/>
      <c r="H462" s="5"/>
      <c r="J462" s="5"/>
      <c r="K462" s="5"/>
      <c r="L462" s="5"/>
      <c r="M462" s="5"/>
      <c r="N462" s="5"/>
      <c r="O462" s="5"/>
    </row>
    <row r="463" spans="2:15" ht="9.75" customHeight="1" x14ac:dyDescent="0.2">
      <c r="B463" s="5"/>
      <c r="C463" s="5"/>
      <c r="E463" s="5"/>
      <c r="H463" s="5"/>
      <c r="J463" s="5"/>
      <c r="K463" s="5"/>
      <c r="L463" s="5"/>
      <c r="M463" s="5"/>
      <c r="N463" s="5"/>
      <c r="O463" s="5"/>
    </row>
    <row r="464" spans="2:15" ht="9.75" customHeight="1" x14ac:dyDescent="0.2">
      <c r="B464" s="5"/>
      <c r="C464" s="5"/>
      <c r="E464" s="5"/>
      <c r="H464" s="5"/>
      <c r="J464" s="5"/>
      <c r="K464" s="5"/>
      <c r="L464" s="5"/>
      <c r="M464" s="5"/>
      <c r="N464" s="5"/>
      <c r="O464" s="5"/>
    </row>
    <row r="465" spans="2:15" ht="9.75" customHeight="1" x14ac:dyDescent="0.2">
      <c r="B465" s="5"/>
      <c r="C465" s="5"/>
      <c r="E465" s="5"/>
      <c r="H465" s="5"/>
      <c r="J465" s="5"/>
      <c r="K465" s="5"/>
      <c r="L465" s="5"/>
      <c r="M465" s="5"/>
      <c r="N465" s="5"/>
      <c r="O465" s="5"/>
    </row>
    <row r="466" spans="2:15" ht="9.75" customHeight="1" x14ac:dyDescent="0.2">
      <c r="B466" s="5"/>
      <c r="C466" s="5"/>
      <c r="E466" s="5"/>
      <c r="H466" s="5"/>
      <c r="J466" s="5"/>
      <c r="K466" s="5"/>
      <c r="L466" s="5"/>
      <c r="M466" s="5"/>
      <c r="N466" s="5"/>
      <c r="O466" s="5"/>
    </row>
    <row r="467" spans="2:15" ht="9.75" customHeight="1" x14ac:dyDescent="0.2">
      <c r="B467" s="5"/>
      <c r="C467" s="5"/>
      <c r="E467" s="5"/>
      <c r="H467" s="5"/>
      <c r="J467" s="5"/>
      <c r="K467" s="5"/>
      <c r="L467" s="5"/>
      <c r="M467" s="5"/>
      <c r="N467" s="5"/>
      <c r="O467" s="5"/>
    </row>
    <row r="468" spans="2:15" ht="9.75" customHeight="1" x14ac:dyDescent="0.2">
      <c r="B468" s="5"/>
      <c r="C468" s="5"/>
      <c r="E468" s="5"/>
      <c r="H468" s="5"/>
      <c r="J468" s="5"/>
      <c r="K468" s="5"/>
      <c r="L468" s="5"/>
      <c r="M468" s="5"/>
      <c r="N468" s="5"/>
      <c r="O468" s="5"/>
    </row>
    <row r="469" spans="2:15" ht="9.75" customHeight="1" x14ac:dyDescent="0.2">
      <c r="B469" s="5"/>
      <c r="C469" s="5"/>
      <c r="E469" s="5"/>
      <c r="H469" s="5"/>
      <c r="J469" s="5"/>
      <c r="K469" s="5"/>
      <c r="L469" s="5"/>
      <c r="M469" s="5"/>
      <c r="N469" s="5"/>
      <c r="O469" s="5"/>
    </row>
    <row r="470" spans="2:15" ht="9.75" customHeight="1" x14ac:dyDescent="0.2">
      <c r="B470" s="5"/>
      <c r="C470" s="5"/>
      <c r="E470" s="5"/>
      <c r="H470" s="5"/>
      <c r="J470" s="5"/>
      <c r="K470" s="5"/>
      <c r="L470" s="5"/>
      <c r="M470" s="5"/>
      <c r="N470" s="5"/>
      <c r="O470" s="5"/>
    </row>
    <row r="471" spans="2:15" ht="9.75" customHeight="1" x14ac:dyDescent="0.2">
      <c r="B471" s="5"/>
      <c r="C471" s="5"/>
      <c r="E471" s="5"/>
      <c r="H471" s="5"/>
      <c r="J471" s="5"/>
      <c r="K471" s="5"/>
      <c r="L471" s="5"/>
      <c r="M471" s="5"/>
      <c r="N471" s="5"/>
      <c r="O471" s="5"/>
    </row>
    <row r="472" spans="2:15" ht="9.75" customHeight="1" x14ac:dyDescent="0.2">
      <c r="B472" s="5"/>
      <c r="C472" s="5"/>
      <c r="E472" s="5"/>
      <c r="H472" s="5"/>
      <c r="J472" s="5"/>
      <c r="K472" s="5"/>
      <c r="L472" s="5"/>
      <c r="M472" s="5"/>
      <c r="N472" s="5"/>
      <c r="O472" s="5"/>
    </row>
    <row r="473" spans="2:15" ht="9.75" customHeight="1" x14ac:dyDescent="0.2">
      <c r="B473" s="5"/>
      <c r="C473" s="5"/>
      <c r="E473" s="5"/>
      <c r="H473" s="5"/>
      <c r="J473" s="5"/>
      <c r="K473" s="5"/>
      <c r="L473" s="5"/>
      <c r="M473" s="5"/>
      <c r="N473" s="5"/>
      <c r="O473" s="5"/>
    </row>
    <row r="474" spans="2:15" ht="9.75" customHeight="1" x14ac:dyDescent="0.2">
      <c r="B474" s="5"/>
      <c r="C474" s="5"/>
      <c r="E474" s="5"/>
      <c r="H474" s="5"/>
      <c r="J474" s="5"/>
      <c r="K474" s="5"/>
      <c r="L474" s="5"/>
      <c r="M474" s="5"/>
      <c r="N474" s="5"/>
      <c r="O474" s="5"/>
    </row>
    <row r="475" spans="2:15" ht="9.75" customHeight="1" x14ac:dyDescent="0.2">
      <c r="B475" s="5"/>
      <c r="C475" s="5"/>
      <c r="E475" s="5"/>
      <c r="H475" s="5"/>
      <c r="J475" s="5"/>
      <c r="K475" s="5"/>
      <c r="L475" s="5"/>
      <c r="M475" s="5"/>
      <c r="N475" s="5"/>
      <c r="O475" s="5"/>
    </row>
    <row r="476" spans="2:15" ht="9.75" customHeight="1" x14ac:dyDescent="0.2">
      <c r="B476" s="5"/>
      <c r="C476" s="5"/>
      <c r="E476" s="5"/>
      <c r="H476" s="5"/>
      <c r="J476" s="5"/>
      <c r="K476" s="5"/>
      <c r="L476" s="5"/>
      <c r="M476" s="5"/>
      <c r="N476" s="5"/>
      <c r="O476" s="5"/>
    </row>
    <row r="477" spans="2:15" ht="9.75" customHeight="1" x14ac:dyDescent="0.2">
      <c r="B477" s="5"/>
      <c r="C477" s="5"/>
      <c r="E477" s="5"/>
      <c r="H477" s="5"/>
      <c r="J477" s="5"/>
      <c r="K477" s="5"/>
      <c r="L477" s="5"/>
      <c r="M477" s="5"/>
      <c r="N477" s="5"/>
      <c r="O477" s="5"/>
    </row>
    <row r="478" spans="2:15" ht="9.75" customHeight="1" x14ac:dyDescent="0.2">
      <c r="B478" s="5"/>
      <c r="C478" s="5"/>
      <c r="E478" s="5"/>
      <c r="H478" s="5"/>
      <c r="J478" s="5"/>
      <c r="K478" s="5"/>
      <c r="L478" s="5"/>
      <c r="M478" s="5"/>
      <c r="N478" s="5"/>
      <c r="O478" s="5"/>
    </row>
    <row r="479" spans="2:15" ht="9.75" customHeight="1" x14ac:dyDescent="0.2">
      <c r="B479" s="5"/>
      <c r="C479" s="5"/>
      <c r="E479" s="5"/>
      <c r="H479" s="5"/>
      <c r="J479" s="5"/>
      <c r="K479" s="5"/>
      <c r="L479" s="5"/>
      <c r="M479" s="5"/>
      <c r="N479" s="5"/>
      <c r="O479" s="5"/>
    </row>
    <row r="480" spans="2:15" ht="9.75" customHeight="1" x14ac:dyDescent="0.2">
      <c r="B480" s="5"/>
      <c r="C480" s="5"/>
      <c r="E480" s="5"/>
      <c r="H480" s="5"/>
      <c r="J480" s="5"/>
      <c r="K480" s="5"/>
      <c r="L480" s="5"/>
      <c r="M480" s="5"/>
      <c r="N480" s="5"/>
      <c r="O480" s="5"/>
    </row>
    <row r="481" spans="2:15" ht="9.75" customHeight="1" x14ac:dyDescent="0.2">
      <c r="B481" s="5"/>
      <c r="C481" s="5"/>
      <c r="E481" s="5"/>
      <c r="H481" s="5"/>
      <c r="J481" s="5"/>
      <c r="K481" s="5"/>
      <c r="L481" s="5"/>
      <c r="M481" s="5"/>
      <c r="N481" s="5"/>
      <c r="O481" s="5"/>
    </row>
    <row r="482" spans="2:15" ht="9.75" customHeight="1" x14ac:dyDescent="0.2">
      <c r="B482" s="5"/>
      <c r="C482" s="5"/>
      <c r="E482" s="5"/>
      <c r="H482" s="5"/>
      <c r="J482" s="5"/>
      <c r="K482" s="5"/>
      <c r="L482" s="5"/>
      <c r="M482" s="5"/>
      <c r="N482" s="5"/>
      <c r="O482" s="5"/>
    </row>
    <row r="483" spans="2:15" ht="9.75" customHeight="1" x14ac:dyDescent="0.2">
      <c r="B483" s="5"/>
      <c r="C483" s="5"/>
      <c r="E483" s="5"/>
      <c r="H483" s="5"/>
      <c r="J483" s="5"/>
      <c r="K483" s="5"/>
      <c r="L483" s="5"/>
      <c r="M483" s="5"/>
      <c r="N483" s="5"/>
      <c r="O483" s="5"/>
    </row>
    <row r="484" spans="2:15" ht="9.75" customHeight="1" x14ac:dyDescent="0.2">
      <c r="B484" s="5"/>
      <c r="C484" s="5"/>
      <c r="E484" s="5"/>
      <c r="H484" s="5"/>
      <c r="J484" s="5"/>
      <c r="K484" s="5"/>
      <c r="L484" s="5"/>
      <c r="M484" s="5"/>
      <c r="N484" s="5"/>
      <c r="O484" s="5"/>
    </row>
    <row r="485" spans="2:15" ht="9.75" customHeight="1" x14ac:dyDescent="0.2">
      <c r="B485" s="5"/>
      <c r="C485" s="5"/>
      <c r="E485" s="5"/>
      <c r="H485" s="5"/>
      <c r="J485" s="5"/>
      <c r="K485" s="5"/>
      <c r="L485" s="5"/>
      <c r="M485" s="5"/>
      <c r="N485" s="5"/>
      <c r="O485" s="5"/>
    </row>
    <row r="486" spans="2:15" ht="9.75" customHeight="1" x14ac:dyDescent="0.2">
      <c r="B486" s="5"/>
      <c r="C486" s="5"/>
      <c r="E486" s="5"/>
      <c r="H486" s="5"/>
      <c r="J486" s="5"/>
      <c r="K486" s="5"/>
      <c r="L486" s="5"/>
      <c r="M486" s="5"/>
      <c r="N486" s="5"/>
      <c r="O486" s="5"/>
    </row>
    <row r="487" spans="2:15" ht="9.75" customHeight="1" x14ac:dyDescent="0.2">
      <c r="B487" s="5"/>
      <c r="C487" s="5"/>
      <c r="E487" s="5"/>
      <c r="H487" s="5"/>
      <c r="J487" s="5"/>
      <c r="K487" s="5"/>
      <c r="L487" s="5"/>
      <c r="M487" s="5"/>
      <c r="N487" s="5"/>
      <c r="O487" s="5"/>
    </row>
    <row r="488" spans="2:15" ht="9.75" customHeight="1" x14ac:dyDescent="0.2">
      <c r="B488" s="5"/>
      <c r="C488" s="5"/>
      <c r="E488" s="5"/>
      <c r="H488" s="5"/>
      <c r="J488" s="5"/>
      <c r="K488" s="5"/>
      <c r="L488" s="5"/>
      <c r="M488" s="5"/>
      <c r="N488" s="5"/>
      <c r="O488" s="5"/>
    </row>
    <row r="489" spans="2:15" ht="9.75" customHeight="1" x14ac:dyDescent="0.2">
      <c r="B489" s="5"/>
      <c r="C489" s="5"/>
      <c r="E489" s="5"/>
      <c r="H489" s="5"/>
      <c r="J489" s="5"/>
      <c r="K489" s="5"/>
      <c r="L489" s="5"/>
      <c r="M489" s="5"/>
      <c r="N489" s="5"/>
      <c r="O489" s="5"/>
    </row>
    <row r="490" spans="2:15" ht="9.75" customHeight="1" x14ac:dyDescent="0.2">
      <c r="B490" s="5"/>
      <c r="C490" s="5"/>
      <c r="E490" s="5"/>
      <c r="H490" s="5"/>
      <c r="J490" s="5"/>
      <c r="K490" s="5"/>
      <c r="L490" s="5"/>
      <c r="M490" s="5"/>
      <c r="N490" s="5"/>
      <c r="O490" s="5"/>
    </row>
    <row r="491" spans="2:15" ht="9.75" customHeight="1" x14ac:dyDescent="0.2">
      <c r="B491" s="5"/>
      <c r="C491" s="5"/>
      <c r="E491" s="5"/>
      <c r="H491" s="5"/>
      <c r="J491" s="5"/>
      <c r="K491" s="5"/>
      <c r="L491" s="5"/>
      <c r="M491" s="5"/>
      <c r="N491" s="5"/>
      <c r="O491" s="5"/>
    </row>
    <row r="492" spans="2:15" ht="9.75" customHeight="1" x14ac:dyDescent="0.2">
      <c r="B492" s="5"/>
      <c r="C492" s="5"/>
      <c r="E492" s="5"/>
      <c r="H492" s="5"/>
      <c r="J492" s="5"/>
      <c r="K492" s="5"/>
      <c r="L492" s="5"/>
      <c r="M492" s="5"/>
      <c r="N492" s="5"/>
      <c r="O492" s="5"/>
    </row>
    <row r="493" spans="2:15" ht="9.75" customHeight="1" x14ac:dyDescent="0.2">
      <c r="B493" s="5"/>
      <c r="C493" s="5"/>
      <c r="E493" s="5"/>
      <c r="H493" s="5"/>
      <c r="J493" s="5"/>
      <c r="K493" s="5"/>
      <c r="L493" s="5"/>
      <c r="M493" s="5"/>
      <c r="N493" s="5"/>
      <c r="O493" s="5"/>
    </row>
    <row r="494" spans="2:15" ht="9.75" customHeight="1" x14ac:dyDescent="0.2">
      <c r="B494" s="5"/>
      <c r="C494" s="5"/>
      <c r="E494" s="5"/>
      <c r="H494" s="5"/>
      <c r="J494" s="5"/>
      <c r="K494" s="5"/>
      <c r="L494" s="5"/>
      <c r="M494" s="5"/>
      <c r="N494" s="5"/>
      <c r="O494" s="5"/>
    </row>
    <row r="495" spans="2:15" ht="9.75" customHeight="1" x14ac:dyDescent="0.2">
      <c r="B495" s="5"/>
      <c r="C495" s="5"/>
      <c r="E495" s="5"/>
      <c r="H495" s="5"/>
      <c r="J495" s="5"/>
      <c r="K495" s="5"/>
      <c r="L495" s="5"/>
      <c r="M495" s="5"/>
      <c r="N495" s="5"/>
      <c r="O495" s="5"/>
    </row>
    <row r="496" spans="2:15" ht="9.75" customHeight="1" x14ac:dyDescent="0.2">
      <c r="B496" s="5"/>
      <c r="C496" s="5"/>
      <c r="E496" s="5"/>
      <c r="H496" s="5"/>
      <c r="J496" s="5"/>
      <c r="K496" s="5"/>
      <c r="L496" s="5"/>
      <c r="M496" s="5"/>
      <c r="N496" s="5"/>
      <c r="O496" s="5"/>
    </row>
    <row r="497" spans="2:15" ht="9.75" customHeight="1" x14ac:dyDescent="0.2">
      <c r="B497" s="5"/>
      <c r="C497" s="5"/>
      <c r="E497" s="5"/>
      <c r="H497" s="5"/>
      <c r="J497" s="5"/>
      <c r="K497" s="5"/>
      <c r="L497" s="5"/>
      <c r="M497" s="5"/>
      <c r="N497" s="5"/>
      <c r="O497" s="5"/>
    </row>
    <row r="498" spans="2:15" ht="9.75" customHeight="1" x14ac:dyDescent="0.2">
      <c r="B498" s="5"/>
      <c r="C498" s="5"/>
      <c r="E498" s="5"/>
      <c r="H498" s="5"/>
      <c r="J498" s="5"/>
      <c r="K498" s="5"/>
      <c r="L498" s="5"/>
      <c r="M498" s="5"/>
      <c r="N498" s="5"/>
      <c r="O498" s="5"/>
    </row>
    <row r="499" spans="2:15" ht="9.75" customHeight="1" x14ac:dyDescent="0.2">
      <c r="B499" s="5"/>
      <c r="C499" s="5"/>
      <c r="E499" s="5"/>
      <c r="H499" s="5"/>
      <c r="J499" s="5"/>
      <c r="K499" s="5"/>
      <c r="L499" s="5"/>
      <c r="M499" s="5"/>
      <c r="N499" s="5"/>
      <c r="O499" s="5"/>
    </row>
    <row r="500" spans="2:15" ht="9.75" customHeight="1" x14ac:dyDescent="0.2">
      <c r="B500" s="5"/>
      <c r="C500" s="5"/>
      <c r="E500" s="5"/>
      <c r="H500" s="5"/>
      <c r="J500" s="5"/>
      <c r="K500" s="5"/>
      <c r="L500" s="5"/>
      <c r="M500" s="5"/>
      <c r="N500" s="5"/>
      <c r="O500" s="5"/>
    </row>
    <row r="501" spans="2:15" ht="9.75" customHeight="1" x14ac:dyDescent="0.2">
      <c r="B501" s="5"/>
      <c r="C501" s="5"/>
      <c r="E501" s="5"/>
      <c r="H501" s="5"/>
      <c r="J501" s="5"/>
      <c r="K501" s="5"/>
      <c r="L501" s="5"/>
      <c r="M501" s="5"/>
      <c r="N501" s="5"/>
      <c r="O501" s="5"/>
    </row>
    <row r="502" spans="2:15" ht="9.75" customHeight="1" x14ac:dyDescent="0.2">
      <c r="B502" s="5"/>
      <c r="C502" s="5"/>
      <c r="E502" s="5"/>
      <c r="H502" s="5"/>
      <c r="J502" s="5"/>
      <c r="K502" s="5"/>
      <c r="L502" s="5"/>
      <c r="M502" s="5"/>
      <c r="N502" s="5"/>
      <c r="O502" s="5"/>
    </row>
    <row r="503" spans="2:15" ht="9.75" customHeight="1" x14ac:dyDescent="0.2">
      <c r="B503" s="5"/>
      <c r="C503" s="5"/>
      <c r="E503" s="5"/>
      <c r="H503" s="5"/>
      <c r="J503" s="5"/>
      <c r="K503" s="5"/>
      <c r="L503" s="5"/>
      <c r="M503" s="5"/>
      <c r="N503" s="5"/>
      <c r="O503" s="5"/>
    </row>
    <row r="504" spans="2:15" ht="9.75" customHeight="1" x14ac:dyDescent="0.2">
      <c r="B504" s="5"/>
      <c r="C504" s="5"/>
      <c r="E504" s="5"/>
      <c r="H504" s="5"/>
      <c r="J504" s="5"/>
      <c r="K504" s="5"/>
      <c r="L504" s="5"/>
      <c r="M504" s="5"/>
      <c r="N504" s="5"/>
      <c r="O504" s="5"/>
    </row>
    <row r="505" spans="2:15" ht="9.75" customHeight="1" x14ac:dyDescent="0.2">
      <c r="B505" s="5"/>
      <c r="C505" s="5"/>
      <c r="E505" s="5"/>
      <c r="H505" s="5"/>
      <c r="J505" s="5"/>
      <c r="K505" s="5"/>
      <c r="L505" s="5"/>
      <c r="M505" s="5"/>
      <c r="N505" s="5"/>
      <c r="O505" s="5"/>
    </row>
    <row r="506" spans="2:15" ht="9.75" customHeight="1" x14ac:dyDescent="0.2">
      <c r="B506" s="5"/>
      <c r="C506" s="5"/>
      <c r="E506" s="5"/>
      <c r="H506" s="5"/>
      <c r="J506" s="5"/>
      <c r="K506" s="5"/>
      <c r="L506" s="5"/>
      <c r="M506" s="5"/>
      <c r="N506" s="5"/>
      <c r="O506" s="5"/>
    </row>
    <row r="507" spans="2:15" ht="9.75" customHeight="1" x14ac:dyDescent="0.2">
      <c r="B507" s="5"/>
      <c r="C507" s="5"/>
      <c r="E507" s="5"/>
      <c r="H507" s="5"/>
      <c r="J507" s="5"/>
      <c r="K507" s="5"/>
      <c r="L507" s="5"/>
      <c r="M507" s="5"/>
      <c r="N507" s="5"/>
      <c r="O507" s="5"/>
    </row>
    <row r="508" spans="2:15" ht="9.75" customHeight="1" x14ac:dyDescent="0.2">
      <c r="B508" s="5"/>
      <c r="C508" s="5"/>
      <c r="E508" s="5"/>
      <c r="H508" s="5"/>
      <c r="J508" s="5"/>
      <c r="K508" s="5"/>
      <c r="L508" s="5"/>
      <c r="M508" s="5"/>
      <c r="N508" s="5"/>
      <c r="O508" s="5"/>
    </row>
    <row r="509" spans="2:15" ht="9.75" customHeight="1" x14ac:dyDescent="0.2">
      <c r="B509" s="5"/>
      <c r="C509" s="5"/>
      <c r="E509" s="5"/>
      <c r="H509" s="5"/>
      <c r="J509" s="5"/>
      <c r="K509" s="5"/>
      <c r="L509" s="5"/>
      <c r="M509" s="5"/>
      <c r="N509" s="5"/>
      <c r="O509" s="5"/>
    </row>
    <row r="510" spans="2:15" ht="9.75" customHeight="1" x14ac:dyDescent="0.2">
      <c r="B510" s="5"/>
      <c r="C510" s="5"/>
      <c r="E510" s="5"/>
      <c r="H510" s="5"/>
      <c r="J510" s="5"/>
      <c r="K510" s="5"/>
      <c r="L510" s="5"/>
      <c r="M510" s="5"/>
      <c r="N510" s="5"/>
      <c r="O510" s="5"/>
    </row>
    <row r="511" spans="2:15" ht="9.75" customHeight="1" x14ac:dyDescent="0.2">
      <c r="B511" s="5"/>
      <c r="C511" s="5"/>
      <c r="E511" s="5"/>
      <c r="H511" s="5"/>
      <c r="J511" s="5"/>
      <c r="K511" s="5"/>
      <c r="L511" s="5"/>
      <c r="M511" s="5"/>
      <c r="N511" s="5"/>
      <c r="O511" s="5"/>
    </row>
    <row r="512" spans="2:15" ht="9.75" customHeight="1" x14ac:dyDescent="0.2">
      <c r="B512" s="5"/>
      <c r="C512" s="5"/>
      <c r="E512" s="5"/>
      <c r="H512" s="5"/>
      <c r="J512" s="5"/>
      <c r="K512" s="5"/>
      <c r="L512" s="5"/>
      <c r="M512" s="5"/>
      <c r="N512" s="5"/>
      <c r="O512" s="5"/>
    </row>
    <row r="513" spans="2:15" ht="9.75" customHeight="1" x14ac:dyDescent="0.2">
      <c r="B513" s="5"/>
      <c r="C513" s="5"/>
      <c r="E513" s="5"/>
      <c r="H513" s="5"/>
      <c r="J513" s="5"/>
      <c r="K513" s="5"/>
      <c r="L513" s="5"/>
      <c r="M513" s="5"/>
      <c r="N513" s="5"/>
      <c r="O513" s="5"/>
    </row>
    <row r="514" spans="2:15" ht="9.75" customHeight="1" x14ac:dyDescent="0.2">
      <c r="B514" s="5"/>
      <c r="C514" s="5"/>
      <c r="E514" s="5"/>
      <c r="H514" s="5"/>
      <c r="J514" s="5"/>
      <c r="K514" s="5"/>
      <c r="L514" s="5"/>
      <c r="M514" s="5"/>
      <c r="N514" s="5"/>
      <c r="O514" s="5"/>
    </row>
    <row r="515" spans="2:15" ht="9.75" customHeight="1" x14ac:dyDescent="0.2">
      <c r="B515" s="5"/>
      <c r="C515" s="5"/>
      <c r="E515" s="5"/>
      <c r="H515" s="5"/>
      <c r="J515" s="5"/>
      <c r="K515" s="5"/>
      <c r="L515" s="5"/>
      <c r="M515" s="5"/>
      <c r="N515" s="5"/>
      <c r="O515" s="5"/>
    </row>
    <row r="516" spans="2:15" ht="9.75" customHeight="1" x14ac:dyDescent="0.2">
      <c r="B516" s="5"/>
      <c r="C516" s="5"/>
      <c r="E516" s="5"/>
      <c r="H516" s="5"/>
      <c r="J516" s="5"/>
      <c r="K516" s="5"/>
      <c r="L516" s="5"/>
      <c r="M516" s="5"/>
      <c r="N516" s="5"/>
      <c r="O516" s="5"/>
    </row>
    <row r="517" spans="2:15" ht="9.75" customHeight="1" x14ac:dyDescent="0.2">
      <c r="B517" s="5"/>
      <c r="C517" s="5"/>
      <c r="E517" s="5"/>
      <c r="H517" s="5"/>
      <c r="J517" s="5"/>
      <c r="K517" s="5"/>
      <c r="L517" s="5"/>
      <c r="M517" s="5"/>
      <c r="N517" s="5"/>
      <c r="O517" s="5"/>
    </row>
    <row r="518" spans="2:15" ht="9.75" customHeight="1" x14ac:dyDescent="0.2">
      <c r="B518" s="5"/>
      <c r="C518" s="5"/>
      <c r="E518" s="5"/>
      <c r="H518" s="5"/>
      <c r="J518" s="5"/>
      <c r="K518" s="5"/>
      <c r="L518" s="5"/>
      <c r="M518" s="5"/>
      <c r="N518" s="5"/>
      <c r="O518" s="5"/>
    </row>
    <row r="519" spans="2:15" ht="9.75" customHeight="1" x14ac:dyDescent="0.2">
      <c r="B519" s="5"/>
      <c r="C519" s="5"/>
      <c r="E519" s="5"/>
      <c r="H519" s="5"/>
      <c r="J519" s="5"/>
      <c r="K519" s="5"/>
      <c r="L519" s="5"/>
      <c r="M519" s="5"/>
      <c r="N519" s="5"/>
      <c r="O519" s="5"/>
    </row>
    <row r="520" spans="2:15" ht="9.75" customHeight="1" x14ac:dyDescent="0.2">
      <c r="B520" s="5"/>
      <c r="C520" s="5"/>
      <c r="E520" s="5"/>
      <c r="H520" s="5"/>
      <c r="J520" s="5"/>
      <c r="K520" s="5"/>
      <c r="L520" s="5"/>
      <c r="M520" s="5"/>
      <c r="N520" s="5"/>
      <c r="O520" s="5"/>
    </row>
    <row r="521" spans="2:15" ht="9.75" customHeight="1" x14ac:dyDescent="0.2">
      <c r="B521" s="5"/>
      <c r="C521" s="5"/>
      <c r="E521" s="5"/>
      <c r="H521" s="5"/>
      <c r="J521" s="5"/>
      <c r="K521" s="5"/>
      <c r="L521" s="5"/>
      <c r="M521" s="5"/>
      <c r="N521" s="5"/>
      <c r="O521" s="5"/>
    </row>
    <row r="522" spans="2:15" ht="9.75" customHeight="1" x14ac:dyDescent="0.2">
      <c r="B522" s="5"/>
      <c r="C522" s="5"/>
      <c r="E522" s="5"/>
      <c r="H522" s="5"/>
      <c r="J522" s="5"/>
      <c r="K522" s="5"/>
      <c r="L522" s="5"/>
      <c r="M522" s="5"/>
      <c r="N522" s="5"/>
      <c r="O522" s="5"/>
    </row>
    <row r="523" spans="2:15" ht="9.75" customHeight="1" x14ac:dyDescent="0.2">
      <c r="B523" s="5"/>
      <c r="C523" s="5"/>
      <c r="E523" s="5"/>
      <c r="H523" s="5"/>
      <c r="J523" s="5"/>
      <c r="K523" s="5"/>
      <c r="L523" s="5"/>
      <c r="M523" s="5"/>
      <c r="N523" s="5"/>
      <c r="O523" s="5"/>
    </row>
    <row r="524" spans="2:15" ht="9.75" customHeight="1" x14ac:dyDescent="0.2">
      <c r="B524" s="5"/>
      <c r="C524" s="5"/>
      <c r="E524" s="5"/>
      <c r="H524" s="5"/>
      <c r="J524" s="5"/>
      <c r="K524" s="5"/>
      <c r="L524" s="5"/>
      <c r="M524" s="5"/>
      <c r="N524" s="5"/>
      <c r="O524" s="5"/>
    </row>
    <row r="525" spans="2:15" ht="9.75" customHeight="1" x14ac:dyDescent="0.2">
      <c r="B525" s="5"/>
      <c r="C525" s="5"/>
      <c r="E525" s="5"/>
      <c r="H525" s="5"/>
      <c r="J525" s="5"/>
      <c r="K525" s="5"/>
      <c r="L525" s="5"/>
      <c r="M525" s="5"/>
      <c r="N525" s="5"/>
      <c r="O525" s="5"/>
    </row>
    <row r="526" spans="2:15" ht="9.75" customHeight="1" x14ac:dyDescent="0.2">
      <c r="B526" s="5"/>
      <c r="C526" s="5"/>
      <c r="E526" s="5"/>
      <c r="H526" s="5"/>
      <c r="J526" s="5"/>
      <c r="K526" s="5"/>
      <c r="L526" s="5"/>
      <c r="M526" s="5"/>
      <c r="N526" s="5"/>
      <c r="O526" s="5"/>
    </row>
    <row r="527" spans="2:15" ht="9.75" customHeight="1" x14ac:dyDescent="0.2">
      <c r="B527" s="5"/>
      <c r="C527" s="5"/>
      <c r="E527" s="5"/>
      <c r="H527" s="5"/>
      <c r="J527" s="5"/>
      <c r="K527" s="5"/>
      <c r="L527" s="5"/>
      <c r="M527" s="5"/>
      <c r="N527" s="5"/>
      <c r="O527" s="5"/>
    </row>
    <row r="528" spans="2:15" ht="9.75" customHeight="1" x14ac:dyDescent="0.2">
      <c r="B528" s="5"/>
      <c r="C528" s="5"/>
      <c r="E528" s="5"/>
      <c r="H528" s="5"/>
      <c r="J528" s="5"/>
      <c r="K528" s="5"/>
      <c r="L528" s="5"/>
      <c r="M528" s="5"/>
      <c r="N528" s="5"/>
      <c r="O528" s="5"/>
    </row>
    <row r="529" spans="2:15" ht="9.75" customHeight="1" x14ac:dyDescent="0.2">
      <c r="B529" s="5"/>
      <c r="C529" s="5"/>
      <c r="E529" s="5"/>
      <c r="H529" s="5"/>
      <c r="J529" s="5"/>
      <c r="K529" s="5"/>
      <c r="L529" s="5"/>
      <c r="M529" s="5"/>
      <c r="N529" s="5"/>
      <c r="O529" s="5"/>
    </row>
    <row r="530" spans="2:15" ht="9.75" customHeight="1" x14ac:dyDescent="0.2">
      <c r="B530" s="5"/>
      <c r="C530" s="5"/>
      <c r="E530" s="5"/>
      <c r="H530" s="5"/>
      <c r="J530" s="5"/>
      <c r="K530" s="5"/>
      <c r="L530" s="5"/>
      <c r="M530" s="5"/>
      <c r="N530" s="5"/>
      <c r="O530" s="5"/>
    </row>
    <row r="531" spans="2:15" ht="9.75" customHeight="1" x14ac:dyDescent="0.2">
      <c r="B531" s="5"/>
      <c r="C531" s="5"/>
      <c r="E531" s="5"/>
      <c r="H531" s="5"/>
      <c r="J531" s="5"/>
      <c r="K531" s="5"/>
      <c r="L531" s="5"/>
      <c r="M531" s="5"/>
      <c r="N531" s="5"/>
      <c r="O531" s="5"/>
    </row>
    <row r="532" spans="2:15" ht="9.75" customHeight="1" x14ac:dyDescent="0.2">
      <c r="B532" s="5"/>
      <c r="C532" s="5"/>
      <c r="E532" s="5"/>
      <c r="H532" s="5"/>
      <c r="J532" s="5"/>
      <c r="K532" s="5"/>
      <c r="L532" s="5"/>
      <c r="M532" s="5"/>
      <c r="N532" s="5"/>
      <c r="O532" s="5"/>
    </row>
    <row r="533" spans="2:15" ht="9.75" customHeight="1" x14ac:dyDescent="0.2">
      <c r="B533" s="5"/>
      <c r="C533" s="5"/>
      <c r="E533" s="5"/>
      <c r="H533" s="5"/>
      <c r="J533" s="5"/>
      <c r="K533" s="5"/>
      <c r="L533" s="5"/>
      <c r="M533" s="5"/>
      <c r="N533" s="5"/>
      <c r="O533" s="5"/>
    </row>
  </sheetData>
  <mergeCells count="115">
    <mergeCell ref="B61:E61"/>
    <mergeCell ref="B62:E62"/>
    <mergeCell ref="B63:E63"/>
    <mergeCell ref="B64:E64"/>
    <mergeCell ref="B65:E65"/>
    <mergeCell ref="I67:M67"/>
    <mergeCell ref="K55:M57"/>
    <mergeCell ref="N55:O57"/>
    <mergeCell ref="B57:C57"/>
    <mergeCell ref="B58:C58"/>
    <mergeCell ref="D58:P58"/>
    <mergeCell ref="F59:J60"/>
    <mergeCell ref="K59:O60"/>
    <mergeCell ref="K52:M54"/>
    <mergeCell ref="N52:O54"/>
    <mergeCell ref="B49:C50"/>
    <mergeCell ref="D49:D50"/>
    <mergeCell ref="K49:M51"/>
    <mergeCell ref="N49:O51"/>
    <mergeCell ref="E50:E51"/>
    <mergeCell ref="F50:G51"/>
    <mergeCell ref="H50:I51"/>
    <mergeCell ref="J50:J51"/>
    <mergeCell ref="B51:C52"/>
    <mergeCell ref="D51:D52"/>
    <mergeCell ref="B53:C54"/>
    <mergeCell ref="D53:D54"/>
    <mergeCell ref="E54:E55"/>
    <mergeCell ref="F54:G55"/>
    <mergeCell ref="H54:I55"/>
    <mergeCell ref="J54:J55"/>
    <mergeCell ref="B55:C56"/>
    <mergeCell ref="D55:D56"/>
    <mergeCell ref="E52:E53"/>
    <mergeCell ref="F52:G53"/>
    <mergeCell ref="H52:I53"/>
    <mergeCell ref="J52:J53"/>
    <mergeCell ref="H46:I47"/>
    <mergeCell ref="J46:J47"/>
    <mergeCell ref="K46:M48"/>
    <mergeCell ref="N46:O48"/>
    <mergeCell ref="B47:C48"/>
    <mergeCell ref="D47:D48"/>
    <mergeCell ref="E48:E49"/>
    <mergeCell ref="F48:G49"/>
    <mergeCell ref="H48:I49"/>
    <mergeCell ref="J48:J49"/>
    <mergeCell ref="C43:D43"/>
    <mergeCell ref="C44:D44"/>
    <mergeCell ref="A45:B45"/>
    <mergeCell ref="D45:E45"/>
    <mergeCell ref="F45:G45"/>
    <mergeCell ref="E46:E47"/>
    <mergeCell ref="F46:G47"/>
    <mergeCell ref="C37:D37"/>
    <mergeCell ref="C38:D38"/>
    <mergeCell ref="C39:D39"/>
    <mergeCell ref="C40:D40"/>
    <mergeCell ref="C41:D41"/>
    <mergeCell ref="C42:D42"/>
    <mergeCell ref="C31:D31"/>
    <mergeCell ref="C32:D32"/>
    <mergeCell ref="C33:D33"/>
    <mergeCell ref="C34:D34"/>
    <mergeCell ref="C35:D35"/>
    <mergeCell ref="C36:D36"/>
    <mergeCell ref="C25:D25"/>
    <mergeCell ref="C26:D26"/>
    <mergeCell ref="C27:D27"/>
    <mergeCell ref="C28:D28"/>
    <mergeCell ref="C29:D29"/>
    <mergeCell ref="C30:D30"/>
    <mergeCell ref="C19:D19"/>
    <mergeCell ref="C20:D20"/>
    <mergeCell ref="C21:D21"/>
    <mergeCell ref="C22:D22"/>
    <mergeCell ref="C23:D23"/>
    <mergeCell ref="C24:D24"/>
    <mergeCell ref="H17:H18"/>
    <mergeCell ref="I17:I18"/>
    <mergeCell ref="J17:J18"/>
    <mergeCell ref="K17:L17"/>
    <mergeCell ref="M17:N17"/>
    <mergeCell ref="O17:P18"/>
    <mergeCell ref="A17:A18"/>
    <mergeCell ref="B17:B18"/>
    <mergeCell ref="C17:D18"/>
    <mergeCell ref="E17:E18"/>
    <mergeCell ref="F17:F18"/>
    <mergeCell ref="G17:G18"/>
    <mergeCell ref="B14:C14"/>
    <mergeCell ref="D14:I14"/>
    <mergeCell ref="B15:C15"/>
    <mergeCell ref="D15:I15"/>
    <mergeCell ref="B16:C16"/>
    <mergeCell ref="D16:I16"/>
    <mergeCell ref="B12:C12"/>
    <mergeCell ref="D12:I12"/>
    <mergeCell ref="K12:M12"/>
    <mergeCell ref="E1:I2"/>
    <mergeCell ref="K1:O2"/>
    <mergeCell ref="A3:P4"/>
    <mergeCell ref="A5:P5"/>
    <mergeCell ref="A6:P6"/>
    <mergeCell ref="A7:P7"/>
    <mergeCell ref="N12:O12"/>
    <mergeCell ref="B13:C13"/>
    <mergeCell ref="D13:I13"/>
    <mergeCell ref="B9:D9"/>
    <mergeCell ref="K9:M9"/>
    <mergeCell ref="N9:O9"/>
    <mergeCell ref="B11:C11"/>
    <mergeCell ref="D11:I11"/>
    <mergeCell ref="K11:M11"/>
    <mergeCell ref="N11:O11"/>
  </mergeCells>
  <pageMargins left="0.47244094488188981" right="0" top="0.47244094488188981" bottom="0" header="0" footer="0"/>
  <pageSetup scale="92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39940" r:id="rId4" name="CommandButton4">
          <controlPr defaultSize="0" print="0" autoLine="0" r:id="rId5">
            <anchor moveWithCells="1">
              <from>
                <xdr:col>11</xdr:col>
                <xdr:colOff>228600</xdr:colOff>
                <xdr:row>4</xdr:row>
                <xdr:rowOff>57150</xdr:rowOff>
              </from>
              <to>
                <xdr:col>13</xdr:col>
                <xdr:colOff>95250</xdr:colOff>
                <xdr:row>5</xdr:row>
                <xdr:rowOff>133350</xdr:rowOff>
              </to>
            </anchor>
          </controlPr>
        </control>
      </mc:Choice>
      <mc:Fallback>
        <control shapeId="39940" r:id="rId4" name="CommandButton4"/>
      </mc:Fallback>
    </mc:AlternateContent>
    <mc:AlternateContent xmlns:mc="http://schemas.openxmlformats.org/markup-compatibility/2006">
      <mc:Choice Requires="x14">
        <control shapeId="39939" r:id="rId6" name="CommandButton3">
          <controlPr defaultSize="0" print="0" autoLine="0" r:id="rId7">
            <anchor moveWithCells="1">
              <from>
                <xdr:col>13</xdr:col>
                <xdr:colOff>257175</xdr:colOff>
                <xdr:row>4</xdr:row>
                <xdr:rowOff>57150</xdr:rowOff>
              </from>
              <to>
                <xdr:col>14</xdr:col>
                <xdr:colOff>390525</xdr:colOff>
                <xdr:row>5</xdr:row>
                <xdr:rowOff>133350</xdr:rowOff>
              </to>
            </anchor>
          </controlPr>
        </control>
      </mc:Choice>
      <mc:Fallback>
        <control shapeId="39939" r:id="rId6" name="CommandButton3"/>
      </mc:Fallback>
    </mc:AlternateContent>
    <mc:AlternateContent xmlns:mc="http://schemas.openxmlformats.org/markup-compatibility/2006">
      <mc:Choice Requires="x14">
        <control shapeId="39938" r:id="rId8" name="CommandButton2">
          <controlPr defaultSize="0" print="0" autoLine="0" r:id="rId9">
            <anchor moveWithCells="1">
              <from>
                <xdr:col>11</xdr:col>
                <xdr:colOff>219075</xdr:colOff>
                <xdr:row>2</xdr:row>
                <xdr:rowOff>104775</xdr:rowOff>
              </from>
              <to>
                <xdr:col>13</xdr:col>
                <xdr:colOff>104775</xdr:colOff>
                <xdr:row>4</xdr:row>
                <xdr:rowOff>19050</xdr:rowOff>
              </to>
            </anchor>
          </controlPr>
        </control>
      </mc:Choice>
      <mc:Fallback>
        <control shapeId="39938" r:id="rId8" name="CommandButton2"/>
      </mc:Fallback>
    </mc:AlternateContent>
    <mc:AlternateContent xmlns:mc="http://schemas.openxmlformats.org/markup-compatibility/2006">
      <mc:Choice Requires="x14">
        <control shapeId="39937" r:id="rId10" name="CommandButton1">
          <controlPr defaultSize="0" print="0" autoLine="0" r:id="rId11">
            <anchor moveWithCells="1">
              <from>
                <xdr:col>13</xdr:col>
                <xdr:colOff>257175</xdr:colOff>
                <xdr:row>2</xdr:row>
                <xdr:rowOff>104775</xdr:rowOff>
              </from>
              <to>
                <xdr:col>14</xdr:col>
                <xdr:colOff>390525</xdr:colOff>
                <xdr:row>4</xdr:row>
                <xdr:rowOff>19050</xdr:rowOff>
              </to>
            </anchor>
          </controlPr>
        </control>
      </mc:Choice>
      <mc:Fallback>
        <control shapeId="39937" r:id="rId10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2">
    <tabColor rgb="FFFFFF00"/>
  </sheetPr>
  <dimension ref="A1:Q533"/>
  <sheetViews>
    <sheetView showZeros="0" topLeftCell="A3" zoomScale="115" zoomScaleNormal="115" workbookViewId="0">
      <selection activeCell="D47" sqref="D47:D48"/>
    </sheetView>
  </sheetViews>
  <sheetFormatPr defaultRowHeight="9.75" customHeight="1" x14ac:dyDescent="0.2"/>
  <cols>
    <col min="1" max="1" width="2.7109375" style="269" customWidth="1"/>
    <col min="2" max="2" width="7" style="270" customWidth="1"/>
    <col min="3" max="3" width="7.7109375" style="270" customWidth="1"/>
    <col min="4" max="4" width="19.5703125" style="269" customWidth="1"/>
    <col min="5" max="5" width="9" style="270" customWidth="1"/>
    <col min="6" max="6" width="7.42578125" style="269" customWidth="1"/>
    <col min="7" max="7" width="4.7109375" style="269" customWidth="1"/>
    <col min="8" max="8" width="6.85546875" style="303" customWidth="1"/>
    <col min="9" max="9" width="2.5703125" style="269" customWidth="1"/>
    <col min="10" max="10" width="8.28515625" style="310" customWidth="1"/>
    <col min="11" max="11" width="4.140625" style="306" customWidth="1"/>
    <col min="12" max="12" width="7.140625" style="303" customWidth="1"/>
    <col min="13" max="13" width="4.42578125" style="306" customWidth="1"/>
    <col min="14" max="14" width="7.140625" style="303" customWidth="1"/>
    <col min="15" max="15" width="8.28515625" style="303" customWidth="1"/>
    <col min="16" max="16" width="0.5703125" style="269" customWidth="1"/>
    <col min="17" max="16384" width="9.140625" style="269"/>
  </cols>
  <sheetData>
    <row r="1" spans="1:17" ht="11.25" customHeight="1" x14ac:dyDescent="0.25">
      <c r="A1" s="268"/>
      <c r="B1" s="268"/>
      <c r="C1" s="268"/>
      <c r="D1" s="268"/>
      <c r="E1" s="529" t="s">
        <v>55</v>
      </c>
      <c r="F1" s="529"/>
      <c r="G1" s="529"/>
      <c r="H1" s="529"/>
      <c r="I1" s="529"/>
      <c r="J1" s="307"/>
      <c r="K1" s="602" t="s">
        <v>63</v>
      </c>
      <c r="L1" s="602"/>
      <c r="M1" s="602"/>
      <c r="N1" s="602"/>
      <c r="O1" s="602"/>
      <c r="P1" s="602"/>
      <c r="Q1" s="267"/>
    </row>
    <row r="2" spans="1:17" s="267" customFormat="1" ht="12" customHeight="1" x14ac:dyDescent="0.25">
      <c r="A2" s="272"/>
      <c r="B2" s="272"/>
      <c r="C2" s="272"/>
      <c r="D2" s="272"/>
      <c r="E2" s="529"/>
      <c r="F2" s="529"/>
      <c r="G2" s="529"/>
      <c r="H2" s="529"/>
      <c r="I2" s="529"/>
      <c r="J2" s="307"/>
      <c r="K2" s="603"/>
      <c r="L2" s="603"/>
      <c r="M2" s="603"/>
      <c r="N2" s="603"/>
      <c r="O2" s="603"/>
      <c r="P2" s="603"/>
    </row>
    <row r="3" spans="1:17" ht="15" customHeight="1" x14ac:dyDescent="0.2">
      <c r="A3" s="532" t="str">
        <f>BILL!A3</f>
        <v>Firm Name</v>
      </c>
      <c r="B3" s="533"/>
      <c r="C3" s="533"/>
      <c r="D3" s="533"/>
      <c r="E3" s="533"/>
      <c r="F3" s="533"/>
      <c r="G3" s="533"/>
      <c r="H3" s="533"/>
      <c r="I3" s="533"/>
      <c r="J3" s="533"/>
      <c r="K3" s="533"/>
      <c r="L3" s="533"/>
      <c r="M3" s="533"/>
      <c r="N3" s="533"/>
      <c r="O3" s="533"/>
      <c r="P3" s="534"/>
      <c r="Q3" s="267"/>
    </row>
    <row r="4" spans="1:17" ht="11.25" x14ac:dyDescent="0.2">
      <c r="A4" s="535"/>
      <c r="B4" s="536"/>
      <c r="C4" s="536"/>
      <c r="D4" s="536"/>
      <c r="E4" s="536"/>
      <c r="F4" s="536"/>
      <c r="G4" s="536"/>
      <c r="H4" s="536"/>
      <c r="I4" s="536"/>
      <c r="J4" s="536"/>
      <c r="K4" s="536"/>
      <c r="L4" s="536"/>
      <c r="M4" s="536"/>
      <c r="N4" s="536"/>
      <c r="O4" s="536"/>
      <c r="P4" s="537"/>
      <c r="Q4" s="267"/>
    </row>
    <row r="5" spans="1:17" ht="12" x14ac:dyDescent="0.2">
      <c r="A5" s="538" t="str">
        <f>BILL!A5</f>
        <v>Address: XXXXXXXXXXXXXXXXX, XXXXXXXXXXXXXX</v>
      </c>
      <c r="B5" s="539"/>
      <c r="C5" s="539"/>
      <c r="D5" s="539"/>
      <c r="E5" s="539"/>
      <c r="F5" s="539"/>
      <c r="G5" s="539"/>
      <c r="H5" s="539"/>
      <c r="I5" s="539"/>
      <c r="J5" s="539"/>
      <c r="K5" s="539"/>
      <c r="L5" s="539"/>
      <c r="M5" s="539"/>
      <c r="N5" s="539"/>
      <c r="O5" s="539"/>
      <c r="P5" s="540"/>
      <c r="Q5" s="267"/>
    </row>
    <row r="6" spans="1:17" ht="12" x14ac:dyDescent="0.2">
      <c r="A6" s="538" t="str">
        <f>BILL!A6</f>
        <v xml:space="preserve">Phone: XXXXX-XXXXX, Email: XXXXX-XXXXX@gmail.com </v>
      </c>
      <c r="B6" s="539"/>
      <c r="C6" s="539"/>
      <c r="D6" s="539"/>
      <c r="E6" s="539"/>
      <c r="F6" s="539"/>
      <c r="G6" s="539"/>
      <c r="H6" s="539"/>
      <c r="I6" s="539"/>
      <c r="J6" s="539"/>
      <c r="K6" s="539"/>
      <c r="L6" s="539"/>
      <c r="M6" s="539"/>
      <c r="N6" s="539"/>
      <c r="O6" s="539"/>
      <c r="P6" s="540"/>
      <c r="Q6" s="267"/>
    </row>
    <row r="7" spans="1:17" ht="12.75" x14ac:dyDescent="0.2">
      <c r="A7" s="541" t="str">
        <f>BILL!A7</f>
        <v xml:space="preserve">GSTN: XXXXXXXXXXXXXXX </v>
      </c>
      <c r="B7" s="542"/>
      <c r="C7" s="542"/>
      <c r="D7" s="542"/>
      <c r="E7" s="542"/>
      <c r="F7" s="542"/>
      <c r="G7" s="542"/>
      <c r="H7" s="542"/>
      <c r="I7" s="542"/>
      <c r="J7" s="542"/>
      <c r="K7" s="542"/>
      <c r="L7" s="542"/>
      <c r="M7" s="542"/>
      <c r="N7" s="542"/>
      <c r="O7" s="542"/>
      <c r="P7" s="543"/>
      <c r="Q7" s="267"/>
    </row>
    <row r="8" spans="1:17" ht="5.0999999999999996" customHeight="1" x14ac:dyDescent="0.25">
      <c r="A8" s="281"/>
      <c r="B8" s="282" t="s">
        <v>28</v>
      </c>
      <c r="C8" s="283"/>
      <c r="D8" s="279"/>
      <c r="E8" s="284"/>
      <c r="F8" s="279"/>
      <c r="G8" s="279"/>
      <c r="H8" s="299"/>
      <c r="I8" s="279"/>
      <c r="J8" s="308"/>
      <c r="K8" s="304"/>
      <c r="L8" s="311"/>
      <c r="M8" s="313"/>
      <c r="N8" s="311"/>
      <c r="O8" s="311"/>
      <c r="P8" s="280"/>
      <c r="Q8" s="267"/>
    </row>
    <row r="9" spans="1:17" ht="15.75" x14ac:dyDescent="0.25">
      <c r="A9" s="285"/>
      <c r="B9" s="547" t="s">
        <v>53</v>
      </c>
      <c r="C9" s="547"/>
      <c r="D9" s="547"/>
      <c r="E9" s="329"/>
      <c r="F9" s="330"/>
      <c r="G9" s="330"/>
      <c r="H9" s="331"/>
      <c r="I9" s="330"/>
      <c r="J9" s="309"/>
      <c r="K9" s="548" t="s">
        <v>88</v>
      </c>
      <c r="L9" s="549"/>
      <c r="M9" s="549"/>
      <c r="N9" s="550">
        <f>BILL!N9</f>
        <v>1933</v>
      </c>
      <c r="O9" s="550"/>
      <c r="P9" s="274"/>
      <c r="Q9" s="267"/>
    </row>
    <row r="10" spans="1:17" ht="5.25" customHeight="1" x14ac:dyDescent="0.2">
      <c r="A10" s="285"/>
      <c r="B10" s="329"/>
      <c r="C10" s="329"/>
      <c r="D10" s="330"/>
      <c r="E10" s="329"/>
      <c r="F10" s="330"/>
      <c r="G10" s="330"/>
      <c r="H10" s="331"/>
      <c r="I10" s="330"/>
      <c r="J10" s="309"/>
      <c r="K10" s="332"/>
      <c r="L10" s="333"/>
      <c r="M10" s="332"/>
      <c r="N10" s="333"/>
      <c r="O10" s="333"/>
      <c r="P10" s="275"/>
      <c r="Q10" s="267"/>
    </row>
    <row r="11" spans="1:17" ht="15" x14ac:dyDescent="0.25">
      <c r="A11" s="285"/>
      <c r="B11" s="545" t="s">
        <v>27</v>
      </c>
      <c r="C11" s="545"/>
      <c r="D11" s="547">
        <f>BILL!D11</f>
        <v>0</v>
      </c>
      <c r="E11" s="547"/>
      <c r="F11" s="547"/>
      <c r="G11" s="547"/>
      <c r="H11" s="547"/>
      <c r="I11" s="547"/>
      <c r="J11" s="309"/>
      <c r="K11" s="548" t="s">
        <v>89</v>
      </c>
      <c r="L11" s="549"/>
      <c r="M11" s="549"/>
      <c r="N11" s="551">
        <f>BILL!N11</f>
        <v>0</v>
      </c>
      <c r="O11" s="551"/>
      <c r="P11" s="276"/>
      <c r="Q11" s="267"/>
    </row>
    <row r="12" spans="1:17" ht="15" x14ac:dyDescent="0.25">
      <c r="A12" s="285"/>
      <c r="B12" s="545"/>
      <c r="C12" s="545"/>
      <c r="D12" s="547">
        <f>BILL!D12</f>
        <v>0</v>
      </c>
      <c r="E12" s="547"/>
      <c r="F12" s="547"/>
      <c r="G12" s="547"/>
      <c r="H12" s="547"/>
      <c r="I12" s="547"/>
      <c r="J12" s="309"/>
      <c r="K12" s="548" t="s">
        <v>90</v>
      </c>
      <c r="L12" s="549"/>
      <c r="M12" s="549"/>
      <c r="N12" s="544">
        <f>BILL!N12</f>
        <v>0</v>
      </c>
      <c r="O12" s="544"/>
      <c r="P12" s="277"/>
      <c r="Q12" s="267"/>
    </row>
    <row r="13" spans="1:17" ht="15" x14ac:dyDescent="0.25">
      <c r="A13" s="285"/>
      <c r="B13" s="545" t="s">
        <v>43</v>
      </c>
      <c r="C13" s="545"/>
      <c r="D13" s="546">
        <f>BILL!D13</f>
        <v>0</v>
      </c>
      <c r="E13" s="546"/>
      <c r="F13" s="546"/>
      <c r="G13" s="546"/>
      <c r="H13" s="546"/>
      <c r="I13" s="546"/>
      <c r="J13" s="309"/>
      <c r="K13" s="305"/>
      <c r="L13" s="312"/>
      <c r="M13" s="314"/>
      <c r="N13" s="315"/>
      <c r="O13" s="315"/>
      <c r="P13" s="278"/>
      <c r="Q13" s="267"/>
    </row>
    <row r="14" spans="1:17" ht="14.25" x14ac:dyDescent="0.2">
      <c r="A14" s="285"/>
      <c r="B14" s="545" t="s">
        <v>26</v>
      </c>
      <c r="C14" s="545"/>
      <c r="D14" s="546">
        <f>BILL!D14</f>
        <v>0</v>
      </c>
      <c r="E14" s="546"/>
      <c r="F14" s="546"/>
      <c r="G14" s="546"/>
      <c r="H14" s="546"/>
      <c r="I14" s="546"/>
      <c r="J14" s="309"/>
      <c r="K14" s="305"/>
      <c r="L14" s="300"/>
      <c r="M14" s="305"/>
      <c r="N14" s="300"/>
      <c r="O14" s="300"/>
      <c r="P14" s="275"/>
      <c r="Q14" s="267"/>
    </row>
    <row r="15" spans="1:17" ht="14.25" x14ac:dyDescent="0.2">
      <c r="A15" s="285"/>
      <c r="B15" s="545" t="s">
        <v>44</v>
      </c>
      <c r="C15" s="545"/>
      <c r="D15" s="546">
        <f>BILL!D15</f>
        <v>0</v>
      </c>
      <c r="E15" s="546"/>
      <c r="F15" s="546"/>
      <c r="G15" s="546"/>
      <c r="H15" s="546"/>
      <c r="I15" s="546"/>
      <c r="J15" s="309"/>
      <c r="K15" s="305"/>
      <c r="L15" s="300"/>
      <c r="M15" s="305"/>
      <c r="N15" s="300"/>
      <c r="O15" s="300"/>
      <c r="P15" s="275"/>
      <c r="Q15" s="267"/>
    </row>
    <row r="16" spans="1:17" ht="15" x14ac:dyDescent="0.25">
      <c r="A16" s="286"/>
      <c r="B16" s="549" t="s">
        <v>39</v>
      </c>
      <c r="C16" s="549"/>
      <c r="D16" s="552">
        <f>BILL!D16</f>
        <v>0</v>
      </c>
      <c r="E16" s="552"/>
      <c r="F16" s="552"/>
      <c r="G16" s="552"/>
      <c r="H16" s="552"/>
      <c r="I16" s="552"/>
      <c r="J16" s="309"/>
      <c r="K16" s="305"/>
      <c r="L16" s="300"/>
      <c r="M16" s="305"/>
      <c r="N16" s="300"/>
      <c r="O16" s="300"/>
      <c r="P16" s="275"/>
      <c r="Q16" s="267"/>
    </row>
    <row r="17" spans="1:17" s="318" customFormat="1" ht="12" customHeight="1" x14ac:dyDescent="0.2">
      <c r="A17" s="554" t="s">
        <v>24</v>
      </c>
      <c r="B17" s="554" t="s">
        <v>68</v>
      </c>
      <c r="C17" s="556" t="s">
        <v>2</v>
      </c>
      <c r="D17" s="556"/>
      <c r="E17" s="554" t="s">
        <v>9</v>
      </c>
      <c r="F17" s="554" t="s">
        <v>23</v>
      </c>
      <c r="G17" s="556" t="s">
        <v>3</v>
      </c>
      <c r="H17" s="563" t="s">
        <v>94</v>
      </c>
      <c r="I17" s="556" t="s">
        <v>87</v>
      </c>
      <c r="J17" s="563" t="s">
        <v>7</v>
      </c>
      <c r="K17" s="553" t="s">
        <v>5</v>
      </c>
      <c r="L17" s="553"/>
      <c r="M17" s="553" t="s">
        <v>6</v>
      </c>
      <c r="N17" s="553"/>
      <c r="O17" s="554" t="s">
        <v>19</v>
      </c>
      <c r="P17" s="554"/>
      <c r="Q17" s="317"/>
    </row>
    <row r="18" spans="1:17" s="318" customFormat="1" ht="12" customHeight="1" x14ac:dyDescent="0.2">
      <c r="A18" s="555"/>
      <c r="B18" s="555"/>
      <c r="C18" s="557"/>
      <c r="D18" s="557"/>
      <c r="E18" s="555"/>
      <c r="F18" s="555"/>
      <c r="G18" s="557"/>
      <c r="H18" s="564"/>
      <c r="I18" s="557"/>
      <c r="J18" s="564"/>
      <c r="K18" s="319" t="s">
        <v>51</v>
      </c>
      <c r="L18" s="320" t="s">
        <v>8</v>
      </c>
      <c r="M18" s="319" t="s">
        <v>51</v>
      </c>
      <c r="N18" s="320" t="s">
        <v>8</v>
      </c>
      <c r="O18" s="555"/>
      <c r="P18" s="555"/>
      <c r="Q18" s="317"/>
    </row>
    <row r="19" spans="1:17" s="298" customFormat="1" ht="14.1" customHeight="1" x14ac:dyDescent="0.2">
      <c r="A19" s="321" t="str">
        <f>BILL!A19</f>
        <v/>
      </c>
      <c r="B19" s="321">
        <f>BILL!B19</f>
        <v>0</v>
      </c>
      <c r="C19" s="604">
        <f>BILL!C19</f>
        <v>0</v>
      </c>
      <c r="D19" s="605"/>
      <c r="E19" s="322">
        <f>BILL!E19</f>
        <v>0</v>
      </c>
      <c r="F19" s="323">
        <f>BILL!F19</f>
        <v>0</v>
      </c>
      <c r="G19" s="416">
        <f>BILL!G19</f>
        <v>0</v>
      </c>
      <c r="H19" s="325">
        <f>BILL!H19</f>
        <v>0</v>
      </c>
      <c r="I19" s="324">
        <f>BILL!I19</f>
        <v>0</v>
      </c>
      <c r="J19" s="325">
        <f>BILL!J19</f>
        <v>0</v>
      </c>
      <c r="K19" s="326">
        <f>BILL!K19</f>
        <v>0</v>
      </c>
      <c r="L19" s="325">
        <f>BILL!L19</f>
        <v>0</v>
      </c>
      <c r="M19" s="326">
        <f>BILL!M19</f>
        <v>0</v>
      </c>
      <c r="N19" s="325">
        <f>BILL!N19</f>
        <v>0</v>
      </c>
      <c r="O19" s="327">
        <f>BILL!O19</f>
        <v>0</v>
      </c>
      <c r="P19" s="296"/>
      <c r="Q19" s="297"/>
    </row>
    <row r="20" spans="1:17" s="295" customFormat="1" ht="14.1" customHeight="1" x14ac:dyDescent="0.2">
      <c r="A20" s="321" t="str">
        <f>BILL!A20</f>
        <v/>
      </c>
      <c r="B20" s="321">
        <f>BILL!B20</f>
        <v>0</v>
      </c>
      <c r="C20" s="606">
        <f>BILL!C20</f>
        <v>0</v>
      </c>
      <c r="D20" s="607"/>
      <c r="E20" s="322">
        <f>BILL!E20</f>
        <v>0</v>
      </c>
      <c r="F20" s="323">
        <f>BILL!F20</f>
        <v>0</v>
      </c>
      <c r="G20" s="416">
        <f>BILL!G20</f>
        <v>0</v>
      </c>
      <c r="H20" s="325">
        <f>BILL!H20</f>
        <v>0</v>
      </c>
      <c r="I20" s="324">
        <f>BILL!I20</f>
        <v>0</v>
      </c>
      <c r="J20" s="325">
        <f>BILL!J20</f>
        <v>0</v>
      </c>
      <c r="K20" s="326">
        <f>BILL!K20</f>
        <v>0</v>
      </c>
      <c r="L20" s="325">
        <f>BILL!L20</f>
        <v>0</v>
      </c>
      <c r="M20" s="326">
        <f>BILL!M20</f>
        <v>0</v>
      </c>
      <c r="N20" s="325">
        <f>BILL!N20</f>
        <v>0</v>
      </c>
      <c r="O20" s="328">
        <f>BILL!O20</f>
        <v>0</v>
      </c>
      <c r="P20" s="296"/>
      <c r="Q20" s="294"/>
    </row>
    <row r="21" spans="1:17" s="295" customFormat="1" ht="14.1" customHeight="1" x14ac:dyDescent="0.2">
      <c r="A21" s="321" t="str">
        <f>BILL!A21</f>
        <v/>
      </c>
      <c r="B21" s="321">
        <f>BILL!B21</f>
        <v>0</v>
      </c>
      <c r="C21" s="606">
        <f>BILL!C21</f>
        <v>0</v>
      </c>
      <c r="D21" s="607"/>
      <c r="E21" s="322">
        <f>BILL!E21</f>
        <v>0</v>
      </c>
      <c r="F21" s="323">
        <f>BILL!F21</f>
        <v>0</v>
      </c>
      <c r="G21" s="416">
        <f>BILL!G21</f>
        <v>0</v>
      </c>
      <c r="H21" s="325">
        <f>BILL!H21</f>
        <v>0</v>
      </c>
      <c r="I21" s="324">
        <f>BILL!I21</f>
        <v>0</v>
      </c>
      <c r="J21" s="325">
        <f>BILL!J21</f>
        <v>0</v>
      </c>
      <c r="K21" s="326">
        <f>BILL!K21</f>
        <v>0</v>
      </c>
      <c r="L21" s="325">
        <f>BILL!L21</f>
        <v>0</v>
      </c>
      <c r="M21" s="326">
        <f>BILL!M21</f>
        <v>0</v>
      </c>
      <c r="N21" s="325">
        <f>BILL!N21</f>
        <v>0</v>
      </c>
      <c r="O21" s="328">
        <f>BILL!O21</f>
        <v>0</v>
      </c>
      <c r="P21" s="296"/>
      <c r="Q21" s="294"/>
    </row>
    <row r="22" spans="1:17" s="295" customFormat="1" ht="14.1" customHeight="1" x14ac:dyDescent="0.2">
      <c r="A22" s="321" t="str">
        <f>BILL!A22</f>
        <v/>
      </c>
      <c r="B22" s="321">
        <f>BILL!B22</f>
        <v>0</v>
      </c>
      <c r="C22" s="606">
        <f>BILL!C22</f>
        <v>0</v>
      </c>
      <c r="D22" s="607"/>
      <c r="E22" s="322">
        <f>BILL!E22</f>
        <v>0</v>
      </c>
      <c r="F22" s="323">
        <f>BILL!F22</f>
        <v>0</v>
      </c>
      <c r="G22" s="416">
        <f>BILL!G22</f>
        <v>0</v>
      </c>
      <c r="H22" s="325">
        <f>BILL!H22</f>
        <v>0</v>
      </c>
      <c r="I22" s="324">
        <f>BILL!I22</f>
        <v>0</v>
      </c>
      <c r="J22" s="325">
        <f>BILL!J22</f>
        <v>0</v>
      </c>
      <c r="K22" s="326">
        <f>BILL!K22</f>
        <v>0</v>
      </c>
      <c r="L22" s="325">
        <f>BILL!L22</f>
        <v>0</v>
      </c>
      <c r="M22" s="326">
        <f>BILL!M22</f>
        <v>0</v>
      </c>
      <c r="N22" s="325">
        <f>BILL!N22</f>
        <v>0</v>
      </c>
      <c r="O22" s="328">
        <f>BILL!O22</f>
        <v>0</v>
      </c>
      <c r="P22" s="296"/>
      <c r="Q22" s="294"/>
    </row>
    <row r="23" spans="1:17" s="295" customFormat="1" ht="14.1" customHeight="1" x14ac:dyDescent="0.2">
      <c r="A23" s="321" t="str">
        <f>BILL!A23</f>
        <v/>
      </c>
      <c r="B23" s="321">
        <f>BILL!B23</f>
        <v>0</v>
      </c>
      <c r="C23" s="606">
        <f>BILL!C23</f>
        <v>0</v>
      </c>
      <c r="D23" s="607"/>
      <c r="E23" s="322">
        <f>BILL!E23</f>
        <v>0</v>
      </c>
      <c r="F23" s="323">
        <f>BILL!F23</f>
        <v>0</v>
      </c>
      <c r="G23" s="416">
        <f>BILL!G23</f>
        <v>0</v>
      </c>
      <c r="H23" s="325">
        <f>BILL!H23</f>
        <v>0</v>
      </c>
      <c r="I23" s="324">
        <f>BILL!I23</f>
        <v>0</v>
      </c>
      <c r="J23" s="325">
        <f>BILL!J23</f>
        <v>0</v>
      </c>
      <c r="K23" s="326">
        <f>BILL!K23</f>
        <v>0</v>
      </c>
      <c r="L23" s="325">
        <f>BILL!L23</f>
        <v>0</v>
      </c>
      <c r="M23" s="326">
        <f>BILL!M23</f>
        <v>0</v>
      </c>
      <c r="N23" s="325">
        <f>BILL!N23</f>
        <v>0</v>
      </c>
      <c r="O23" s="328">
        <f>BILL!O23</f>
        <v>0</v>
      </c>
      <c r="P23" s="296"/>
      <c r="Q23" s="294"/>
    </row>
    <row r="24" spans="1:17" s="295" customFormat="1" ht="14.1" customHeight="1" x14ac:dyDescent="0.2">
      <c r="A24" s="321" t="str">
        <f>BILL!A24</f>
        <v/>
      </c>
      <c r="B24" s="321">
        <f>BILL!B24</f>
        <v>0</v>
      </c>
      <c r="C24" s="606">
        <f>BILL!C24</f>
        <v>0</v>
      </c>
      <c r="D24" s="607"/>
      <c r="E24" s="322">
        <f>BILL!E24</f>
        <v>0</v>
      </c>
      <c r="F24" s="323">
        <f>BILL!F24</f>
        <v>0</v>
      </c>
      <c r="G24" s="416">
        <f>BILL!G24</f>
        <v>0</v>
      </c>
      <c r="H24" s="325">
        <f>BILL!H24</f>
        <v>0</v>
      </c>
      <c r="I24" s="324">
        <f>BILL!I24</f>
        <v>0</v>
      </c>
      <c r="J24" s="325">
        <f>BILL!J24</f>
        <v>0</v>
      </c>
      <c r="K24" s="326">
        <f>BILL!K24</f>
        <v>0</v>
      </c>
      <c r="L24" s="325">
        <f>BILL!L24</f>
        <v>0</v>
      </c>
      <c r="M24" s="326">
        <f>BILL!M24</f>
        <v>0</v>
      </c>
      <c r="N24" s="325">
        <f>BILL!N24</f>
        <v>0</v>
      </c>
      <c r="O24" s="328">
        <f>BILL!O24</f>
        <v>0</v>
      </c>
      <c r="P24" s="296"/>
      <c r="Q24" s="294"/>
    </row>
    <row r="25" spans="1:17" s="295" customFormat="1" ht="14.1" customHeight="1" x14ac:dyDescent="0.2">
      <c r="A25" s="321" t="str">
        <f>BILL!A25</f>
        <v/>
      </c>
      <c r="B25" s="321">
        <f>BILL!B25</f>
        <v>0</v>
      </c>
      <c r="C25" s="606">
        <f>BILL!C25</f>
        <v>0</v>
      </c>
      <c r="D25" s="607"/>
      <c r="E25" s="322">
        <f>BILL!E25</f>
        <v>0</v>
      </c>
      <c r="F25" s="323">
        <f>BILL!F25</f>
        <v>0</v>
      </c>
      <c r="G25" s="416">
        <f>BILL!G25</f>
        <v>0</v>
      </c>
      <c r="H25" s="325">
        <f>BILL!H25</f>
        <v>0</v>
      </c>
      <c r="I25" s="324">
        <f>BILL!I25</f>
        <v>0</v>
      </c>
      <c r="J25" s="325">
        <f>BILL!J25</f>
        <v>0</v>
      </c>
      <c r="K25" s="326">
        <f>BILL!K25</f>
        <v>0</v>
      </c>
      <c r="L25" s="325">
        <f>BILL!L25</f>
        <v>0</v>
      </c>
      <c r="M25" s="326">
        <f>BILL!M25</f>
        <v>0</v>
      </c>
      <c r="N25" s="325">
        <f>BILL!N25</f>
        <v>0</v>
      </c>
      <c r="O25" s="328">
        <f>BILL!O25</f>
        <v>0</v>
      </c>
      <c r="P25" s="296"/>
      <c r="Q25" s="294"/>
    </row>
    <row r="26" spans="1:17" s="295" customFormat="1" ht="14.1" customHeight="1" x14ac:dyDescent="0.2">
      <c r="A26" s="321" t="str">
        <f>BILL!A26</f>
        <v/>
      </c>
      <c r="B26" s="321">
        <f>BILL!B26</f>
        <v>0</v>
      </c>
      <c r="C26" s="606">
        <f>BILL!C26</f>
        <v>0</v>
      </c>
      <c r="D26" s="607"/>
      <c r="E26" s="322">
        <f>BILL!E26</f>
        <v>0</v>
      </c>
      <c r="F26" s="323">
        <f>BILL!F26</f>
        <v>0</v>
      </c>
      <c r="G26" s="416">
        <f>BILL!G26</f>
        <v>0</v>
      </c>
      <c r="H26" s="325">
        <f>BILL!H26</f>
        <v>0</v>
      </c>
      <c r="I26" s="324">
        <f>BILL!I26</f>
        <v>0</v>
      </c>
      <c r="J26" s="325">
        <f>BILL!J26</f>
        <v>0</v>
      </c>
      <c r="K26" s="326">
        <f>BILL!K26</f>
        <v>0</v>
      </c>
      <c r="L26" s="325">
        <f>BILL!L26</f>
        <v>0</v>
      </c>
      <c r="M26" s="326">
        <f>BILL!M26</f>
        <v>0</v>
      </c>
      <c r="N26" s="325">
        <f>BILL!N26</f>
        <v>0</v>
      </c>
      <c r="O26" s="328">
        <f>BILL!O26</f>
        <v>0</v>
      </c>
      <c r="P26" s="296"/>
      <c r="Q26" s="294"/>
    </row>
    <row r="27" spans="1:17" s="295" customFormat="1" ht="14.1" customHeight="1" x14ac:dyDescent="0.2">
      <c r="A27" s="321" t="str">
        <f>BILL!A27</f>
        <v/>
      </c>
      <c r="B27" s="321">
        <f>BILL!B27</f>
        <v>0</v>
      </c>
      <c r="C27" s="606">
        <f>BILL!C27</f>
        <v>0</v>
      </c>
      <c r="D27" s="607"/>
      <c r="E27" s="322">
        <f>BILL!E27</f>
        <v>0</v>
      </c>
      <c r="F27" s="323">
        <f>BILL!F27</f>
        <v>0</v>
      </c>
      <c r="G27" s="416">
        <f>BILL!G27</f>
        <v>0</v>
      </c>
      <c r="H27" s="325">
        <f>BILL!H27</f>
        <v>0</v>
      </c>
      <c r="I27" s="324">
        <f>BILL!I27</f>
        <v>0</v>
      </c>
      <c r="J27" s="325">
        <f>BILL!J27</f>
        <v>0</v>
      </c>
      <c r="K27" s="326">
        <f>BILL!K27</f>
        <v>0</v>
      </c>
      <c r="L27" s="325">
        <f>BILL!L27</f>
        <v>0</v>
      </c>
      <c r="M27" s="326">
        <f>BILL!M27</f>
        <v>0</v>
      </c>
      <c r="N27" s="325">
        <f>BILL!N27</f>
        <v>0</v>
      </c>
      <c r="O27" s="328">
        <f>BILL!O27</f>
        <v>0</v>
      </c>
      <c r="P27" s="296"/>
      <c r="Q27" s="294"/>
    </row>
    <row r="28" spans="1:17" s="295" customFormat="1" ht="14.1" customHeight="1" x14ac:dyDescent="0.2">
      <c r="A28" s="321" t="str">
        <f>BILL!A28</f>
        <v/>
      </c>
      <c r="B28" s="321">
        <f>BILL!B28</f>
        <v>0</v>
      </c>
      <c r="C28" s="606">
        <f>BILL!C28</f>
        <v>0</v>
      </c>
      <c r="D28" s="607"/>
      <c r="E28" s="322">
        <f>BILL!E28</f>
        <v>0</v>
      </c>
      <c r="F28" s="323">
        <f>BILL!F28</f>
        <v>0</v>
      </c>
      <c r="G28" s="416">
        <f>BILL!G28</f>
        <v>0</v>
      </c>
      <c r="H28" s="325">
        <f>BILL!H28</f>
        <v>0</v>
      </c>
      <c r="I28" s="324">
        <f>BILL!I28</f>
        <v>0</v>
      </c>
      <c r="J28" s="325">
        <f>BILL!J28</f>
        <v>0</v>
      </c>
      <c r="K28" s="326">
        <f>BILL!K28</f>
        <v>0</v>
      </c>
      <c r="L28" s="325">
        <f>BILL!L28</f>
        <v>0</v>
      </c>
      <c r="M28" s="326">
        <f>BILL!M28</f>
        <v>0</v>
      </c>
      <c r="N28" s="325">
        <f>BILL!N28</f>
        <v>0</v>
      </c>
      <c r="O28" s="328">
        <f>BILL!O28</f>
        <v>0</v>
      </c>
      <c r="P28" s="296"/>
      <c r="Q28" s="294"/>
    </row>
    <row r="29" spans="1:17" s="295" customFormat="1" ht="14.1" customHeight="1" x14ac:dyDescent="0.2">
      <c r="A29" s="321" t="str">
        <f>BILL!A29</f>
        <v/>
      </c>
      <c r="B29" s="321">
        <f>BILL!B29</f>
        <v>0</v>
      </c>
      <c r="C29" s="606">
        <f>BILL!C29</f>
        <v>0</v>
      </c>
      <c r="D29" s="607"/>
      <c r="E29" s="322">
        <f>BILL!E29</f>
        <v>0</v>
      </c>
      <c r="F29" s="323">
        <f>BILL!F29</f>
        <v>0</v>
      </c>
      <c r="G29" s="416">
        <f>BILL!G29</f>
        <v>0</v>
      </c>
      <c r="H29" s="325">
        <f>BILL!H29</f>
        <v>0</v>
      </c>
      <c r="I29" s="324">
        <f>BILL!I29</f>
        <v>0</v>
      </c>
      <c r="J29" s="325">
        <f>BILL!J29</f>
        <v>0</v>
      </c>
      <c r="K29" s="326">
        <f>BILL!K29</f>
        <v>0</v>
      </c>
      <c r="L29" s="325">
        <f>BILL!L29</f>
        <v>0</v>
      </c>
      <c r="M29" s="326">
        <f>BILL!M29</f>
        <v>0</v>
      </c>
      <c r="N29" s="325">
        <f>BILL!N29</f>
        <v>0</v>
      </c>
      <c r="O29" s="328">
        <f>BILL!O29</f>
        <v>0</v>
      </c>
      <c r="P29" s="296"/>
      <c r="Q29" s="294"/>
    </row>
    <row r="30" spans="1:17" s="295" customFormat="1" ht="14.1" customHeight="1" x14ac:dyDescent="0.2">
      <c r="A30" s="321" t="str">
        <f>BILL!A30</f>
        <v/>
      </c>
      <c r="B30" s="321">
        <f>BILL!B30</f>
        <v>0</v>
      </c>
      <c r="C30" s="606">
        <f>BILL!C30</f>
        <v>0</v>
      </c>
      <c r="D30" s="607"/>
      <c r="E30" s="322">
        <f>BILL!E30</f>
        <v>0</v>
      </c>
      <c r="F30" s="323">
        <f>BILL!F30</f>
        <v>0</v>
      </c>
      <c r="G30" s="416">
        <f>BILL!G30</f>
        <v>0</v>
      </c>
      <c r="H30" s="325">
        <f>BILL!H30</f>
        <v>0</v>
      </c>
      <c r="I30" s="324">
        <f>BILL!I30</f>
        <v>0</v>
      </c>
      <c r="J30" s="325">
        <f>BILL!J30</f>
        <v>0</v>
      </c>
      <c r="K30" s="326">
        <f>BILL!K30</f>
        <v>0</v>
      </c>
      <c r="L30" s="325">
        <f>BILL!L30</f>
        <v>0</v>
      </c>
      <c r="M30" s="326">
        <f>BILL!M30</f>
        <v>0</v>
      </c>
      <c r="N30" s="325">
        <f>BILL!N30</f>
        <v>0</v>
      </c>
      <c r="O30" s="328">
        <f>BILL!O30</f>
        <v>0</v>
      </c>
      <c r="P30" s="296"/>
      <c r="Q30" s="294"/>
    </row>
    <row r="31" spans="1:17" s="295" customFormat="1" ht="14.1" customHeight="1" x14ac:dyDescent="0.2">
      <c r="A31" s="321" t="str">
        <f>BILL!A31</f>
        <v/>
      </c>
      <c r="B31" s="321">
        <f>BILL!B31</f>
        <v>0</v>
      </c>
      <c r="C31" s="606">
        <f>BILL!C31</f>
        <v>0</v>
      </c>
      <c r="D31" s="607"/>
      <c r="E31" s="322">
        <f>BILL!E31</f>
        <v>0</v>
      </c>
      <c r="F31" s="323">
        <f>BILL!F31</f>
        <v>0</v>
      </c>
      <c r="G31" s="416">
        <f>BILL!G31</f>
        <v>0</v>
      </c>
      <c r="H31" s="325">
        <f>BILL!H31</f>
        <v>0</v>
      </c>
      <c r="I31" s="324">
        <f>BILL!I31</f>
        <v>0</v>
      </c>
      <c r="J31" s="325">
        <f>BILL!J31</f>
        <v>0</v>
      </c>
      <c r="K31" s="326">
        <f>BILL!K31</f>
        <v>0</v>
      </c>
      <c r="L31" s="325">
        <f>BILL!L31</f>
        <v>0</v>
      </c>
      <c r="M31" s="326">
        <f>BILL!M31</f>
        <v>0</v>
      </c>
      <c r="N31" s="325">
        <f>BILL!N31</f>
        <v>0</v>
      </c>
      <c r="O31" s="328">
        <f>BILL!O31</f>
        <v>0</v>
      </c>
      <c r="P31" s="296"/>
      <c r="Q31" s="294"/>
    </row>
    <row r="32" spans="1:17" s="295" customFormat="1" ht="14.1" customHeight="1" x14ac:dyDescent="0.2">
      <c r="A32" s="321" t="str">
        <f>BILL!A32</f>
        <v/>
      </c>
      <c r="B32" s="321">
        <f>BILL!B32</f>
        <v>0</v>
      </c>
      <c r="C32" s="606">
        <f>BILL!C32</f>
        <v>0</v>
      </c>
      <c r="D32" s="607"/>
      <c r="E32" s="322">
        <f>BILL!E32</f>
        <v>0</v>
      </c>
      <c r="F32" s="323">
        <f>BILL!F32</f>
        <v>0</v>
      </c>
      <c r="G32" s="416">
        <f>BILL!G32</f>
        <v>0</v>
      </c>
      <c r="H32" s="325">
        <f>BILL!H32</f>
        <v>0</v>
      </c>
      <c r="I32" s="324">
        <f>BILL!I32</f>
        <v>0</v>
      </c>
      <c r="J32" s="325">
        <f>BILL!J32</f>
        <v>0</v>
      </c>
      <c r="K32" s="326">
        <f>BILL!K32</f>
        <v>0</v>
      </c>
      <c r="L32" s="325">
        <f>BILL!L32</f>
        <v>0</v>
      </c>
      <c r="M32" s="326">
        <f>BILL!M32</f>
        <v>0</v>
      </c>
      <c r="N32" s="325">
        <f>BILL!N32</f>
        <v>0</v>
      </c>
      <c r="O32" s="328">
        <f>BILL!O32</f>
        <v>0</v>
      </c>
      <c r="P32" s="296"/>
      <c r="Q32" s="294"/>
    </row>
    <row r="33" spans="1:17" s="295" customFormat="1" ht="14.1" customHeight="1" x14ac:dyDescent="0.2">
      <c r="A33" s="321" t="str">
        <f>BILL!A33</f>
        <v/>
      </c>
      <c r="B33" s="321">
        <f>BILL!B33</f>
        <v>0</v>
      </c>
      <c r="C33" s="606">
        <f>BILL!C33</f>
        <v>0</v>
      </c>
      <c r="D33" s="607"/>
      <c r="E33" s="322">
        <f>BILL!E33</f>
        <v>0</v>
      </c>
      <c r="F33" s="323">
        <f>BILL!F33</f>
        <v>0</v>
      </c>
      <c r="G33" s="416">
        <f>BILL!G33</f>
        <v>0</v>
      </c>
      <c r="H33" s="325">
        <f>BILL!H33</f>
        <v>0</v>
      </c>
      <c r="I33" s="324">
        <f>BILL!I33</f>
        <v>0</v>
      </c>
      <c r="J33" s="325">
        <f>BILL!J33</f>
        <v>0</v>
      </c>
      <c r="K33" s="326">
        <f>BILL!K33</f>
        <v>0</v>
      </c>
      <c r="L33" s="325">
        <f>BILL!L33</f>
        <v>0</v>
      </c>
      <c r="M33" s="326">
        <f>BILL!M33</f>
        <v>0</v>
      </c>
      <c r="N33" s="325">
        <f>BILL!N33</f>
        <v>0</v>
      </c>
      <c r="O33" s="328">
        <f>BILL!O33</f>
        <v>0</v>
      </c>
      <c r="P33" s="296"/>
      <c r="Q33" s="294"/>
    </row>
    <row r="34" spans="1:17" s="295" customFormat="1" ht="14.1" customHeight="1" x14ac:dyDescent="0.2">
      <c r="A34" s="321" t="str">
        <f>BILL!A34</f>
        <v/>
      </c>
      <c r="B34" s="321">
        <f>BILL!B34</f>
        <v>0</v>
      </c>
      <c r="C34" s="606">
        <f>BILL!C34</f>
        <v>0</v>
      </c>
      <c r="D34" s="607"/>
      <c r="E34" s="322">
        <f>BILL!E34</f>
        <v>0</v>
      </c>
      <c r="F34" s="323">
        <f>BILL!F34</f>
        <v>0</v>
      </c>
      <c r="G34" s="416">
        <f>BILL!G34</f>
        <v>0</v>
      </c>
      <c r="H34" s="325">
        <f>BILL!H34</f>
        <v>0</v>
      </c>
      <c r="I34" s="324">
        <f>BILL!I34</f>
        <v>0</v>
      </c>
      <c r="J34" s="325">
        <f>BILL!J34</f>
        <v>0</v>
      </c>
      <c r="K34" s="326">
        <f>BILL!K34</f>
        <v>0</v>
      </c>
      <c r="L34" s="325">
        <f>BILL!L34</f>
        <v>0</v>
      </c>
      <c r="M34" s="326">
        <f>BILL!M34</f>
        <v>0</v>
      </c>
      <c r="N34" s="325">
        <f>BILL!N34</f>
        <v>0</v>
      </c>
      <c r="O34" s="328">
        <f>BILL!O34</f>
        <v>0</v>
      </c>
      <c r="P34" s="296"/>
      <c r="Q34" s="294"/>
    </row>
    <row r="35" spans="1:17" s="295" customFormat="1" ht="14.1" customHeight="1" x14ac:dyDescent="0.2">
      <c r="A35" s="321" t="str">
        <f>BILL!A35</f>
        <v/>
      </c>
      <c r="B35" s="321">
        <f>BILL!B35</f>
        <v>0</v>
      </c>
      <c r="C35" s="606">
        <f>BILL!C35</f>
        <v>0</v>
      </c>
      <c r="D35" s="607"/>
      <c r="E35" s="322">
        <f>BILL!E35</f>
        <v>0</v>
      </c>
      <c r="F35" s="323">
        <f>BILL!F35</f>
        <v>0</v>
      </c>
      <c r="G35" s="416">
        <f>BILL!G35</f>
        <v>0</v>
      </c>
      <c r="H35" s="325">
        <f>BILL!H35</f>
        <v>0</v>
      </c>
      <c r="I35" s="324">
        <f>BILL!I35</f>
        <v>0</v>
      </c>
      <c r="J35" s="325">
        <f>BILL!J35</f>
        <v>0</v>
      </c>
      <c r="K35" s="326">
        <f>BILL!K35</f>
        <v>0</v>
      </c>
      <c r="L35" s="325">
        <f>BILL!L35</f>
        <v>0</v>
      </c>
      <c r="M35" s="326">
        <f>BILL!M35</f>
        <v>0</v>
      </c>
      <c r="N35" s="325">
        <f>BILL!N35</f>
        <v>0</v>
      </c>
      <c r="O35" s="328">
        <f>BILL!O35</f>
        <v>0</v>
      </c>
      <c r="P35" s="296"/>
      <c r="Q35" s="294"/>
    </row>
    <row r="36" spans="1:17" s="295" customFormat="1" ht="14.1" customHeight="1" x14ac:dyDescent="0.2">
      <c r="A36" s="321" t="str">
        <f>BILL!A36</f>
        <v/>
      </c>
      <c r="B36" s="321">
        <f>BILL!B36</f>
        <v>0</v>
      </c>
      <c r="C36" s="606">
        <f>BILL!C36</f>
        <v>0</v>
      </c>
      <c r="D36" s="607"/>
      <c r="E36" s="322">
        <f>BILL!E36</f>
        <v>0</v>
      </c>
      <c r="F36" s="323">
        <f>BILL!F36</f>
        <v>0</v>
      </c>
      <c r="G36" s="416">
        <f>BILL!G36</f>
        <v>0</v>
      </c>
      <c r="H36" s="325">
        <f>BILL!H36</f>
        <v>0</v>
      </c>
      <c r="I36" s="324">
        <f>BILL!I36</f>
        <v>0</v>
      </c>
      <c r="J36" s="325">
        <f>BILL!J36</f>
        <v>0</v>
      </c>
      <c r="K36" s="326">
        <f>BILL!K36</f>
        <v>0</v>
      </c>
      <c r="L36" s="325">
        <f>BILL!L36</f>
        <v>0</v>
      </c>
      <c r="M36" s="326">
        <f>BILL!M36</f>
        <v>0</v>
      </c>
      <c r="N36" s="325">
        <f>BILL!N36</f>
        <v>0</v>
      </c>
      <c r="O36" s="328">
        <f>BILL!O36</f>
        <v>0</v>
      </c>
      <c r="P36" s="296"/>
      <c r="Q36" s="294"/>
    </row>
    <row r="37" spans="1:17" s="295" customFormat="1" ht="14.1" customHeight="1" x14ac:dyDescent="0.2">
      <c r="A37" s="321" t="str">
        <f>BILL!A37</f>
        <v/>
      </c>
      <c r="B37" s="321">
        <f>BILL!B37</f>
        <v>0</v>
      </c>
      <c r="C37" s="606">
        <f>BILL!C37</f>
        <v>0</v>
      </c>
      <c r="D37" s="607"/>
      <c r="E37" s="322">
        <f>BILL!E37</f>
        <v>0</v>
      </c>
      <c r="F37" s="323">
        <f>BILL!F37</f>
        <v>0</v>
      </c>
      <c r="G37" s="416">
        <f>BILL!G37</f>
        <v>0</v>
      </c>
      <c r="H37" s="325">
        <f>BILL!H37</f>
        <v>0</v>
      </c>
      <c r="I37" s="324">
        <f>BILL!I37</f>
        <v>0</v>
      </c>
      <c r="J37" s="325">
        <f>BILL!J37</f>
        <v>0</v>
      </c>
      <c r="K37" s="326">
        <f>BILL!K37</f>
        <v>0</v>
      </c>
      <c r="L37" s="325">
        <f>BILL!L37</f>
        <v>0</v>
      </c>
      <c r="M37" s="326">
        <f>BILL!M37</f>
        <v>0</v>
      </c>
      <c r="N37" s="325">
        <f>BILL!N37</f>
        <v>0</v>
      </c>
      <c r="O37" s="328">
        <f>BILL!O37</f>
        <v>0</v>
      </c>
      <c r="P37" s="296"/>
      <c r="Q37" s="294"/>
    </row>
    <row r="38" spans="1:17" s="295" customFormat="1" ht="14.1" customHeight="1" x14ac:dyDescent="0.2">
      <c r="A38" s="321" t="str">
        <f>BILL!A38</f>
        <v/>
      </c>
      <c r="B38" s="321">
        <f>BILL!B38</f>
        <v>0</v>
      </c>
      <c r="C38" s="606">
        <f>BILL!C38</f>
        <v>0</v>
      </c>
      <c r="D38" s="607"/>
      <c r="E38" s="322">
        <f>BILL!E38</f>
        <v>0</v>
      </c>
      <c r="F38" s="323">
        <f>BILL!F38</f>
        <v>0</v>
      </c>
      <c r="G38" s="416">
        <f>BILL!G38</f>
        <v>0</v>
      </c>
      <c r="H38" s="325">
        <f>BILL!H38</f>
        <v>0</v>
      </c>
      <c r="I38" s="324">
        <f>BILL!I38</f>
        <v>0</v>
      </c>
      <c r="J38" s="325">
        <f>BILL!J38</f>
        <v>0</v>
      </c>
      <c r="K38" s="326">
        <f>BILL!K38</f>
        <v>0</v>
      </c>
      <c r="L38" s="325">
        <f>BILL!L38</f>
        <v>0</v>
      </c>
      <c r="M38" s="326">
        <f>BILL!M38</f>
        <v>0</v>
      </c>
      <c r="N38" s="325">
        <f>BILL!N38</f>
        <v>0</v>
      </c>
      <c r="O38" s="328">
        <f>BILL!O38</f>
        <v>0</v>
      </c>
      <c r="P38" s="296"/>
      <c r="Q38" s="294"/>
    </row>
    <row r="39" spans="1:17" s="295" customFormat="1" ht="14.1" customHeight="1" x14ac:dyDescent="0.2">
      <c r="A39" s="321" t="str">
        <f>BILL!A39</f>
        <v/>
      </c>
      <c r="B39" s="321">
        <f>BILL!B39</f>
        <v>0</v>
      </c>
      <c r="C39" s="606">
        <f>BILL!C39</f>
        <v>0</v>
      </c>
      <c r="D39" s="607"/>
      <c r="E39" s="322">
        <f>BILL!E39</f>
        <v>0</v>
      </c>
      <c r="F39" s="323">
        <f>BILL!F39</f>
        <v>0</v>
      </c>
      <c r="G39" s="416">
        <f>BILL!G39</f>
        <v>0</v>
      </c>
      <c r="H39" s="325">
        <f>BILL!H39</f>
        <v>0</v>
      </c>
      <c r="I39" s="324">
        <f>BILL!I39</f>
        <v>0</v>
      </c>
      <c r="J39" s="325">
        <f>BILL!J39</f>
        <v>0</v>
      </c>
      <c r="K39" s="326">
        <f>BILL!K39</f>
        <v>0</v>
      </c>
      <c r="L39" s="325">
        <f>BILL!L39</f>
        <v>0</v>
      </c>
      <c r="M39" s="326">
        <f>BILL!M39</f>
        <v>0</v>
      </c>
      <c r="N39" s="325">
        <f>BILL!N39</f>
        <v>0</v>
      </c>
      <c r="O39" s="328">
        <f>BILL!O39</f>
        <v>0</v>
      </c>
      <c r="P39" s="296"/>
      <c r="Q39" s="294"/>
    </row>
    <row r="40" spans="1:17" s="295" customFormat="1" ht="14.1" customHeight="1" x14ac:dyDescent="0.2">
      <c r="A40" s="321" t="str">
        <f>BILL!A40</f>
        <v/>
      </c>
      <c r="B40" s="321">
        <f>BILL!B40</f>
        <v>0</v>
      </c>
      <c r="C40" s="606">
        <f>BILL!C40</f>
        <v>0</v>
      </c>
      <c r="D40" s="607"/>
      <c r="E40" s="322">
        <f>BILL!E40</f>
        <v>0</v>
      </c>
      <c r="F40" s="323">
        <f>BILL!F40</f>
        <v>0</v>
      </c>
      <c r="G40" s="416">
        <f>BILL!G40</f>
        <v>0</v>
      </c>
      <c r="H40" s="325">
        <f>BILL!H40</f>
        <v>0</v>
      </c>
      <c r="I40" s="324">
        <f>BILL!I40</f>
        <v>0</v>
      </c>
      <c r="J40" s="325">
        <f>BILL!J40</f>
        <v>0</v>
      </c>
      <c r="K40" s="326">
        <f>BILL!K40</f>
        <v>0</v>
      </c>
      <c r="L40" s="325">
        <f>BILL!L40</f>
        <v>0</v>
      </c>
      <c r="M40" s="326">
        <f>BILL!M40</f>
        <v>0</v>
      </c>
      <c r="N40" s="325">
        <f>BILL!N40</f>
        <v>0</v>
      </c>
      <c r="O40" s="328">
        <f>BILL!O40</f>
        <v>0</v>
      </c>
      <c r="P40" s="296"/>
      <c r="Q40" s="294"/>
    </row>
    <row r="41" spans="1:17" s="295" customFormat="1" ht="14.1" customHeight="1" x14ac:dyDescent="0.2">
      <c r="A41" s="321" t="str">
        <f>BILL!A41</f>
        <v/>
      </c>
      <c r="B41" s="321">
        <f>BILL!B41</f>
        <v>0</v>
      </c>
      <c r="C41" s="606">
        <f>BILL!C41</f>
        <v>0</v>
      </c>
      <c r="D41" s="607"/>
      <c r="E41" s="322">
        <f>BILL!E41</f>
        <v>0</v>
      </c>
      <c r="F41" s="323">
        <f>BILL!F41</f>
        <v>0</v>
      </c>
      <c r="G41" s="416">
        <f>BILL!G41</f>
        <v>0</v>
      </c>
      <c r="H41" s="325">
        <f>BILL!H41</f>
        <v>0</v>
      </c>
      <c r="I41" s="324">
        <f>BILL!I41</f>
        <v>0</v>
      </c>
      <c r="J41" s="325">
        <f>BILL!J41</f>
        <v>0</v>
      </c>
      <c r="K41" s="326">
        <f>BILL!K41</f>
        <v>0</v>
      </c>
      <c r="L41" s="325">
        <f>BILL!L41</f>
        <v>0</v>
      </c>
      <c r="M41" s="326">
        <f>BILL!M41</f>
        <v>0</v>
      </c>
      <c r="N41" s="325">
        <f>BILL!N41</f>
        <v>0</v>
      </c>
      <c r="O41" s="328">
        <f>BILL!O41</f>
        <v>0</v>
      </c>
      <c r="P41" s="296"/>
      <c r="Q41" s="294"/>
    </row>
    <row r="42" spans="1:17" s="295" customFormat="1" ht="14.1" customHeight="1" x14ac:dyDescent="0.2">
      <c r="A42" s="321" t="str">
        <f>BILL!A42</f>
        <v/>
      </c>
      <c r="B42" s="321">
        <f>BILL!B42</f>
        <v>0</v>
      </c>
      <c r="C42" s="606">
        <f>BILL!C42</f>
        <v>0</v>
      </c>
      <c r="D42" s="607"/>
      <c r="E42" s="322">
        <f>BILL!E42</f>
        <v>0</v>
      </c>
      <c r="F42" s="323">
        <f>BILL!F42</f>
        <v>0</v>
      </c>
      <c r="G42" s="416">
        <f>BILL!G42</f>
        <v>0</v>
      </c>
      <c r="H42" s="325">
        <f>BILL!H42</f>
        <v>0</v>
      </c>
      <c r="I42" s="324">
        <f>BILL!I42</f>
        <v>0</v>
      </c>
      <c r="J42" s="325">
        <f>BILL!J42</f>
        <v>0</v>
      </c>
      <c r="K42" s="326">
        <f>BILL!K42</f>
        <v>0</v>
      </c>
      <c r="L42" s="325">
        <f>BILL!L42</f>
        <v>0</v>
      </c>
      <c r="M42" s="326">
        <f>BILL!M42</f>
        <v>0</v>
      </c>
      <c r="N42" s="325">
        <f>BILL!N42</f>
        <v>0</v>
      </c>
      <c r="O42" s="328">
        <f>BILL!O42</f>
        <v>0</v>
      </c>
      <c r="P42" s="296"/>
      <c r="Q42" s="294"/>
    </row>
    <row r="43" spans="1:17" s="295" customFormat="1" ht="14.1" customHeight="1" x14ac:dyDescent="0.2">
      <c r="A43" s="321" t="str">
        <f>BILL!A43</f>
        <v/>
      </c>
      <c r="B43" s="321">
        <f>BILL!B43</f>
        <v>0</v>
      </c>
      <c r="C43" s="606">
        <f>BILL!C43</f>
        <v>0</v>
      </c>
      <c r="D43" s="607"/>
      <c r="E43" s="322">
        <f>BILL!E43</f>
        <v>0</v>
      </c>
      <c r="F43" s="323">
        <f>BILL!F43</f>
        <v>0</v>
      </c>
      <c r="G43" s="416">
        <f>BILL!G43</f>
        <v>0</v>
      </c>
      <c r="H43" s="325">
        <f>BILL!H43</f>
        <v>0</v>
      </c>
      <c r="I43" s="324">
        <f>BILL!I43</f>
        <v>0</v>
      </c>
      <c r="J43" s="325">
        <f>BILL!J43</f>
        <v>0</v>
      </c>
      <c r="K43" s="326">
        <f>BILL!K43</f>
        <v>0</v>
      </c>
      <c r="L43" s="325">
        <f>BILL!L43</f>
        <v>0</v>
      </c>
      <c r="M43" s="326">
        <f>BILL!M43</f>
        <v>0</v>
      </c>
      <c r="N43" s="325">
        <f>BILL!N43</f>
        <v>0</v>
      </c>
      <c r="O43" s="328">
        <f>BILL!O43</f>
        <v>0</v>
      </c>
      <c r="P43" s="296"/>
      <c r="Q43" s="294"/>
    </row>
    <row r="44" spans="1:17" ht="12" customHeight="1" x14ac:dyDescent="0.2">
      <c r="A44" s="288"/>
      <c r="B44" s="292"/>
      <c r="C44" s="565"/>
      <c r="D44" s="565"/>
      <c r="E44" s="293"/>
      <c r="F44" s="289"/>
      <c r="G44" s="290"/>
      <c r="H44" s="301"/>
      <c r="I44" s="290"/>
      <c r="J44" s="301"/>
      <c r="K44" s="291"/>
      <c r="L44" s="301"/>
      <c r="M44" s="291"/>
      <c r="N44" s="301"/>
      <c r="O44" s="316"/>
      <c r="P44" s="287"/>
      <c r="Q44" s="267"/>
    </row>
    <row r="45" spans="1:17" s="343" customFormat="1" ht="12.75" customHeight="1" x14ac:dyDescent="0.2">
      <c r="A45" s="566" t="s">
        <v>25</v>
      </c>
      <c r="B45" s="567"/>
      <c r="C45" s="430">
        <f>BILL!C45</f>
        <v>0</v>
      </c>
      <c r="D45" s="568" t="s">
        <v>54</v>
      </c>
      <c r="E45" s="568"/>
      <c r="F45" s="569">
        <f>BILL!F45</f>
        <v>0</v>
      </c>
      <c r="G45" s="569"/>
      <c r="H45" s="335"/>
      <c r="I45" s="336"/>
      <c r="J45" s="337"/>
      <c r="K45" s="338"/>
      <c r="L45" s="339"/>
      <c r="M45" s="340"/>
      <c r="N45" s="339"/>
      <c r="O45" s="339"/>
      <c r="P45" s="341"/>
      <c r="Q45" s="342"/>
    </row>
    <row r="46" spans="1:17" s="343" customFormat="1" ht="7.5" customHeight="1" x14ac:dyDescent="0.2">
      <c r="A46" s="344"/>
      <c r="B46" s="381"/>
      <c r="C46" s="381"/>
      <c r="D46" s="382"/>
      <c r="E46" s="608" t="s">
        <v>165</v>
      </c>
      <c r="F46" s="610" t="s">
        <v>107</v>
      </c>
      <c r="G46" s="610"/>
      <c r="H46" s="612" t="s">
        <v>167</v>
      </c>
      <c r="I46" s="612"/>
      <c r="J46" s="614" t="s">
        <v>168</v>
      </c>
      <c r="K46" s="578" t="s">
        <v>102</v>
      </c>
      <c r="L46" s="579"/>
      <c r="M46" s="579"/>
      <c r="N46" s="582">
        <f>BILL!N46</f>
        <v>0</v>
      </c>
      <c r="O46" s="582"/>
      <c r="P46" s="345"/>
      <c r="Q46" s="342"/>
    </row>
    <row r="47" spans="1:17" s="343" customFormat="1" ht="9" customHeight="1" x14ac:dyDescent="0.2">
      <c r="A47" s="344"/>
      <c r="B47" s="542" t="s">
        <v>95</v>
      </c>
      <c r="C47" s="542"/>
      <c r="D47" s="583" t="str">
        <f>BILL!D47</f>
        <v>BankXXXXX</v>
      </c>
      <c r="E47" s="609"/>
      <c r="F47" s="611"/>
      <c r="G47" s="611"/>
      <c r="H47" s="613"/>
      <c r="I47" s="613"/>
      <c r="J47" s="615"/>
      <c r="K47" s="580"/>
      <c r="L47" s="581"/>
      <c r="M47" s="581"/>
      <c r="N47" s="582"/>
      <c r="O47" s="582"/>
      <c r="P47" s="345"/>
      <c r="Q47" s="342"/>
    </row>
    <row r="48" spans="1:17" s="343" customFormat="1" ht="6.75" customHeight="1" x14ac:dyDescent="0.2">
      <c r="A48" s="344"/>
      <c r="B48" s="542"/>
      <c r="C48" s="542"/>
      <c r="D48" s="583"/>
      <c r="E48" s="616" t="s">
        <v>170</v>
      </c>
      <c r="F48" s="618">
        <f>BILL!F48</f>
        <v>0</v>
      </c>
      <c r="G48" s="618"/>
      <c r="H48" s="618">
        <f>BILL!H48</f>
        <v>0</v>
      </c>
      <c r="I48" s="618"/>
      <c r="J48" s="620">
        <f>BILL!J48</f>
        <v>0</v>
      </c>
      <c r="K48" s="580"/>
      <c r="L48" s="581"/>
      <c r="M48" s="581"/>
      <c r="N48" s="582"/>
      <c r="O48" s="582"/>
      <c r="P48" s="345"/>
      <c r="Q48" s="342"/>
    </row>
    <row r="49" spans="1:17" s="343" customFormat="1" ht="7.5" customHeight="1" x14ac:dyDescent="0.2">
      <c r="A49" s="344"/>
      <c r="B49" s="589" t="s">
        <v>96</v>
      </c>
      <c r="C49" s="589"/>
      <c r="D49" s="590" t="str">
        <f>BILL!D49</f>
        <v>Firm Name</v>
      </c>
      <c r="E49" s="617"/>
      <c r="F49" s="619"/>
      <c r="G49" s="619"/>
      <c r="H49" s="619"/>
      <c r="I49" s="619"/>
      <c r="J49" s="621"/>
      <c r="K49" s="580" t="s">
        <v>101</v>
      </c>
      <c r="L49" s="581"/>
      <c r="M49" s="581"/>
      <c r="N49" s="582">
        <f>BILL!N49</f>
        <v>0</v>
      </c>
      <c r="O49" s="582"/>
      <c r="P49" s="345"/>
      <c r="Q49" s="342"/>
    </row>
    <row r="50" spans="1:17" s="343" customFormat="1" ht="6" customHeight="1" x14ac:dyDescent="0.2">
      <c r="A50" s="344"/>
      <c r="B50" s="589"/>
      <c r="C50" s="589"/>
      <c r="D50" s="590"/>
      <c r="E50" s="622" t="s">
        <v>162</v>
      </c>
      <c r="F50" s="619">
        <f>BILL!F50</f>
        <v>0</v>
      </c>
      <c r="G50" s="619"/>
      <c r="H50" s="619">
        <f>BILL!H50</f>
        <v>0</v>
      </c>
      <c r="I50" s="619"/>
      <c r="J50" s="621">
        <f>BILL!J50</f>
        <v>0</v>
      </c>
      <c r="K50" s="580"/>
      <c r="L50" s="581"/>
      <c r="M50" s="581"/>
      <c r="N50" s="582"/>
      <c r="O50" s="582"/>
      <c r="P50" s="345"/>
      <c r="Q50" s="342"/>
    </row>
    <row r="51" spans="1:17" s="343" customFormat="1" ht="6.75" customHeight="1" x14ac:dyDescent="0.2">
      <c r="A51" s="344"/>
      <c r="B51" s="589" t="s">
        <v>98</v>
      </c>
      <c r="C51" s="589"/>
      <c r="D51" s="591" t="str">
        <f>BILL!D51</f>
        <v>XXXXXXXXXXXX</v>
      </c>
      <c r="E51" s="617"/>
      <c r="F51" s="619"/>
      <c r="G51" s="619"/>
      <c r="H51" s="619"/>
      <c r="I51" s="619"/>
      <c r="J51" s="621"/>
      <c r="K51" s="580"/>
      <c r="L51" s="581"/>
      <c r="M51" s="581"/>
      <c r="N51" s="582"/>
      <c r="O51" s="582"/>
      <c r="P51" s="345"/>
      <c r="Q51" s="342"/>
    </row>
    <row r="52" spans="1:17" s="343" customFormat="1" ht="6" customHeight="1" x14ac:dyDescent="0.2">
      <c r="A52" s="344"/>
      <c r="B52" s="589"/>
      <c r="C52" s="589"/>
      <c r="D52" s="591"/>
      <c r="E52" s="622" t="s">
        <v>163</v>
      </c>
      <c r="F52" s="619">
        <f>BILL!F52</f>
        <v>0</v>
      </c>
      <c r="G52" s="619"/>
      <c r="H52" s="619">
        <f>BILL!H52</f>
        <v>0</v>
      </c>
      <c r="I52" s="619"/>
      <c r="J52" s="621">
        <f>BILL!J52</f>
        <v>0</v>
      </c>
      <c r="K52" s="580" t="s">
        <v>100</v>
      </c>
      <c r="L52" s="581"/>
      <c r="M52" s="581"/>
      <c r="N52" s="582">
        <f>BILL!N52</f>
        <v>0</v>
      </c>
      <c r="O52" s="582"/>
      <c r="P52" s="345"/>
      <c r="Q52" s="342"/>
    </row>
    <row r="53" spans="1:17" s="343" customFormat="1" ht="6.75" customHeight="1" x14ac:dyDescent="0.2">
      <c r="A53" s="344"/>
      <c r="B53" s="589" t="s">
        <v>97</v>
      </c>
      <c r="C53" s="589"/>
      <c r="D53" s="590" t="str">
        <f>BILL!D53</f>
        <v>IFSCXXXXXX</v>
      </c>
      <c r="E53" s="617"/>
      <c r="F53" s="619"/>
      <c r="G53" s="619"/>
      <c r="H53" s="619"/>
      <c r="I53" s="619"/>
      <c r="J53" s="621"/>
      <c r="K53" s="580"/>
      <c r="L53" s="581"/>
      <c r="M53" s="581"/>
      <c r="N53" s="582"/>
      <c r="O53" s="582"/>
      <c r="P53" s="345"/>
      <c r="Q53" s="342"/>
    </row>
    <row r="54" spans="1:17" s="343" customFormat="1" ht="6" customHeight="1" x14ac:dyDescent="0.2">
      <c r="A54" s="344"/>
      <c r="B54" s="589"/>
      <c r="C54" s="589"/>
      <c r="D54" s="590"/>
      <c r="E54" s="622" t="s">
        <v>164</v>
      </c>
      <c r="F54" s="619">
        <f>BILL!F54</f>
        <v>0</v>
      </c>
      <c r="G54" s="619"/>
      <c r="H54" s="619">
        <f>BILL!H54</f>
        <v>0</v>
      </c>
      <c r="I54" s="619"/>
      <c r="J54" s="621">
        <f>BILL!J54</f>
        <v>0</v>
      </c>
      <c r="K54" s="580"/>
      <c r="L54" s="581"/>
      <c r="M54" s="581"/>
      <c r="N54" s="582"/>
      <c r="O54" s="582"/>
      <c r="P54" s="345"/>
      <c r="Q54" s="342"/>
    </row>
    <row r="55" spans="1:17" s="343" customFormat="1" ht="6" customHeight="1" x14ac:dyDescent="0.2">
      <c r="A55" s="344"/>
      <c r="B55" s="589" t="s">
        <v>99</v>
      </c>
      <c r="C55" s="589"/>
      <c r="D55" s="590" t="str">
        <f>BILL!D55</f>
        <v>BranchXXXX</v>
      </c>
      <c r="E55" s="617"/>
      <c r="F55" s="619"/>
      <c r="G55" s="619"/>
      <c r="H55" s="619"/>
      <c r="I55" s="619"/>
      <c r="J55" s="621"/>
      <c r="K55" s="580" t="s">
        <v>91</v>
      </c>
      <c r="L55" s="581"/>
      <c r="M55" s="581"/>
      <c r="N55" s="582">
        <f>BILL!N55</f>
        <v>0</v>
      </c>
      <c r="O55" s="582"/>
      <c r="P55" s="345"/>
      <c r="Q55" s="342"/>
    </row>
    <row r="56" spans="1:17" s="343" customFormat="1" ht="6.75" customHeight="1" x14ac:dyDescent="0.2">
      <c r="A56" s="344"/>
      <c r="B56" s="589"/>
      <c r="C56" s="589"/>
      <c r="D56" s="590"/>
      <c r="E56" s="385"/>
      <c r="F56" s="389"/>
      <c r="G56" s="390"/>
      <c r="H56" s="393"/>
      <c r="I56" s="390"/>
      <c r="J56" s="386"/>
      <c r="K56" s="580"/>
      <c r="L56" s="581"/>
      <c r="M56" s="581"/>
      <c r="N56" s="582"/>
      <c r="O56" s="582"/>
      <c r="P56" s="345"/>
      <c r="Q56" s="342"/>
    </row>
    <row r="57" spans="1:17" s="343" customFormat="1" ht="9.75" customHeight="1" x14ac:dyDescent="0.2">
      <c r="A57" s="344"/>
      <c r="B57" s="597"/>
      <c r="C57" s="597"/>
      <c r="D57" s="346"/>
      <c r="E57" s="387"/>
      <c r="F57" s="391"/>
      <c r="G57" s="392"/>
      <c r="H57" s="394"/>
      <c r="I57" s="392"/>
      <c r="J57" s="388"/>
      <c r="K57" s="594"/>
      <c r="L57" s="595"/>
      <c r="M57" s="595"/>
      <c r="N57" s="582"/>
      <c r="O57" s="582"/>
      <c r="P57" s="347"/>
      <c r="Q57" s="342"/>
    </row>
    <row r="58" spans="1:17" s="350" customFormat="1" ht="12" customHeight="1" x14ac:dyDescent="0.2">
      <c r="A58" s="348"/>
      <c r="B58" s="598" t="s">
        <v>40</v>
      </c>
      <c r="C58" s="598"/>
      <c r="D58" s="567" t="str">
        <f>BILL!D58</f>
        <v/>
      </c>
      <c r="E58" s="567"/>
      <c r="F58" s="567"/>
      <c r="G58" s="567"/>
      <c r="H58" s="567"/>
      <c r="I58" s="567"/>
      <c r="J58" s="567"/>
      <c r="K58" s="567"/>
      <c r="L58" s="567"/>
      <c r="M58" s="567"/>
      <c r="N58" s="567"/>
      <c r="O58" s="567"/>
      <c r="P58" s="599"/>
      <c r="Q58" s="349"/>
    </row>
    <row r="59" spans="1:17" s="343" customFormat="1" ht="3.75" customHeight="1" x14ac:dyDescent="0.2">
      <c r="A59" s="351"/>
      <c r="B59" s="352"/>
      <c r="C59" s="353"/>
      <c r="D59" s="353"/>
      <c r="E59" s="353"/>
      <c r="F59" s="570" t="s">
        <v>93</v>
      </c>
      <c r="G59" s="572"/>
      <c r="H59" s="572"/>
      <c r="I59" s="572"/>
      <c r="J59" s="600"/>
      <c r="K59" s="570" t="s">
        <v>42</v>
      </c>
      <c r="L59" s="572"/>
      <c r="M59" s="572"/>
      <c r="N59" s="572"/>
      <c r="O59" s="572"/>
      <c r="P59" s="354"/>
      <c r="Q59" s="342"/>
    </row>
    <row r="60" spans="1:17" s="343" customFormat="1" ht="11.25" customHeight="1" x14ac:dyDescent="0.2">
      <c r="A60" s="355"/>
      <c r="F60" s="571"/>
      <c r="G60" s="573"/>
      <c r="H60" s="573"/>
      <c r="I60" s="573"/>
      <c r="J60" s="601"/>
      <c r="K60" s="571"/>
      <c r="L60" s="573"/>
      <c r="M60" s="573"/>
      <c r="N60" s="573"/>
      <c r="O60" s="573"/>
      <c r="P60" s="356"/>
      <c r="Q60" s="342"/>
    </row>
    <row r="61" spans="1:17" s="343" customFormat="1" ht="11.25" customHeight="1" x14ac:dyDescent="0.2">
      <c r="A61" s="355"/>
      <c r="B61" s="592" t="s">
        <v>48</v>
      </c>
      <c r="C61" s="592"/>
      <c r="D61" s="592"/>
      <c r="E61" s="592"/>
      <c r="F61" s="357"/>
      <c r="G61" s="358"/>
      <c r="H61" s="359"/>
      <c r="I61" s="342"/>
      <c r="J61" s="360"/>
      <c r="K61" s="361"/>
      <c r="L61" s="359"/>
      <c r="M61" s="362"/>
      <c r="N61" s="359"/>
      <c r="O61" s="359"/>
      <c r="P61" s="363"/>
      <c r="Q61" s="342"/>
    </row>
    <row r="62" spans="1:17" s="343" customFormat="1" ht="11.25" customHeight="1" x14ac:dyDescent="0.2">
      <c r="A62" s="355" t="s">
        <v>50</v>
      </c>
      <c r="B62" s="583" t="s">
        <v>49</v>
      </c>
      <c r="C62" s="583"/>
      <c r="D62" s="583"/>
      <c r="E62" s="583"/>
      <c r="F62" s="357"/>
      <c r="G62" s="358"/>
      <c r="H62" s="359"/>
      <c r="I62" s="342"/>
      <c r="J62" s="360"/>
      <c r="K62" s="361"/>
      <c r="L62" s="359"/>
      <c r="M62" s="362"/>
      <c r="N62" s="359"/>
      <c r="O62" s="359"/>
      <c r="P62" s="364"/>
      <c r="Q62" s="342"/>
    </row>
    <row r="63" spans="1:17" s="343" customFormat="1" ht="11.25" customHeight="1" x14ac:dyDescent="0.2">
      <c r="A63" s="355"/>
      <c r="B63" s="583" t="s">
        <v>171</v>
      </c>
      <c r="C63" s="583"/>
      <c r="D63" s="583"/>
      <c r="E63" s="583"/>
      <c r="F63" s="357"/>
      <c r="G63" s="358"/>
      <c r="H63" s="365"/>
      <c r="I63" s="317"/>
      <c r="J63" s="366"/>
      <c r="K63" s="361"/>
      <c r="L63" s="359"/>
      <c r="M63" s="362"/>
      <c r="N63" s="359"/>
      <c r="O63" s="359"/>
      <c r="P63" s="367"/>
      <c r="Q63" s="342"/>
    </row>
    <row r="64" spans="1:17" s="343" customFormat="1" ht="11.25" customHeight="1" x14ac:dyDescent="0.2">
      <c r="A64" s="355"/>
      <c r="B64" s="583" t="s">
        <v>172</v>
      </c>
      <c r="C64" s="583"/>
      <c r="D64" s="583"/>
      <c r="E64" s="583"/>
      <c r="F64" s="357"/>
      <c r="G64" s="358"/>
      <c r="H64" s="359"/>
      <c r="I64" s="342"/>
      <c r="J64" s="368"/>
      <c r="K64" s="369"/>
      <c r="L64" s="370"/>
      <c r="M64" s="371"/>
      <c r="N64" s="370"/>
      <c r="O64" s="370"/>
      <c r="P64" s="372"/>
      <c r="Q64" s="342"/>
    </row>
    <row r="65" spans="1:17" s="343" customFormat="1" ht="11.25" customHeight="1" x14ac:dyDescent="0.2">
      <c r="A65" s="373"/>
      <c r="B65" s="583" t="s">
        <v>52</v>
      </c>
      <c r="C65" s="583"/>
      <c r="D65" s="583"/>
      <c r="E65" s="583"/>
      <c r="F65" s="373"/>
      <c r="G65" s="342"/>
      <c r="H65" s="359"/>
      <c r="I65" s="342"/>
      <c r="J65" s="368"/>
      <c r="K65" s="369"/>
      <c r="L65" s="370"/>
      <c r="M65" s="371"/>
      <c r="N65" s="370"/>
      <c r="O65" s="370"/>
      <c r="P65" s="363"/>
      <c r="Q65" s="342"/>
    </row>
    <row r="66" spans="1:17" s="343" customFormat="1" ht="11.25" customHeight="1" x14ac:dyDescent="0.2">
      <c r="A66" s="373"/>
      <c r="B66" s="353"/>
      <c r="C66" s="353"/>
      <c r="D66" s="342"/>
      <c r="E66" s="353"/>
      <c r="F66" s="373"/>
      <c r="G66" s="342"/>
      <c r="H66" s="359"/>
      <c r="I66" s="342"/>
      <c r="J66" s="360"/>
      <c r="K66" s="361"/>
      <c r="L66" s="359"/>
      <c r="M66" s="362"/>
      <c r="N66" s="359"/>
      <c r="O66" s="359"/>
      <c r="P66" s="363"/>
      <c r="Q66" s="342"/>
    </row>
    <row r="67" spans="1:17" s="343" customFormat="1" ht="12.75" customHeight="1" x14ac:dyDescent="0.2">
      <c r="A67" s="374"/>
      <c r="B67" s="375"/>
      <c r="C67" s="375"/>
      <c r="D67" s="376"/>
      <c r="E67" s="375"/>
      <c r="F67" s="378"/>
      <c r="G67" s="379"/>
      <c r="H67" s="339"/>
      <c r="I67" s="593" t="s">
        <v>41</v>
      </c>
      <c r="J67" s="593"/>
      <c r="K67" s="593"/>
      <c r="L67" s="593"/>
      <c r="M67" s="593"/>
      <c r="N67" s="380"/>
      <c r="O67" s="380"/>
      <c r="P67" s="377"/>
      <c r="Q67" s="342"/>
    </row>
    <row r="68" spans="1:17" ht="9.75" customHeight="1" x14ac:dyDescent="0.2">
      <c r="A68" s="267"/>
      <c r="B68" s="271"/>
      <c r="C68" s="271"/>
      <c r="D68" s="267"/>
      <c r="E68" s="271"/>
      <c r="F68" s="267"/>
      <c r="G68" s="267"/>
      <c r="H68" s="302"/>
      <c r="I68" s="267"/>
      <c r="P68" s="267"/>
      <c r="Q68" s="267"/>
    </row>
    <row r="69" spans="1:17" ht="9.75" customHeight="1" x14ac:dyDescent="0.2">
      <c r="B69" s="269"/>
      <c r="C69" s="269"/>
      <c r="E69" s="269"/>
      <c r="H69" s="269"/>
      <c r="J69" s="269"/>
      <c r="K69" s="269"/>
      <c r="L69" s="269"/>
      <c r="M69" s="269"/>
      <c r="N69" s="269"/>
      <c r="O69" s="269"/>
    </row>
    <row r="70" spans="1:17" ht="9.75" customHeight="1" x14ac:dyDescent="0.2">
      <c r="B70" s="269"/>
      <c r="C70" s="269"/>
      <c r="E70" s="269"/>
      <c r="H70" s="269"/>
      <c r="J70" s="269"/>
      <c r="K70" s="269"/>
      <c r="L70" s="269"/>
      <c r="M70" s="269"/>
      <c r="N70" s="269"/>
      <c r="O70" s="269"/>
    </row>
    <row r="71" spans="1:17" ht="9.75" customHeight="1" x14ac:dyDescent="0.2">
      <c r="B71" s="269"/>
      <c r="C71" s="269"/>
      <c r="E71" s="269"/>
      <c r="H71" s="269"/>
      <c r="J71" s="269"/>
      <c r="K71" s="269"/>
      <c r="L71" s="269"/>
      <c r="M71" s="269"/>
      <c r="N71" s="269"/>
      <c r="O71" s="269"/>
    </row>
    <row r="72" spans="1:17" ht="9.75" customHeight="1" x14ac:dyDescent="0.2">
      <c r="B72" s="269"/>
      <c r="C72" s="269"/>
      <c r="E72" s="269"/>
      <c r="H72" s="269"/>
      <c r="J72" s="269"/>
      <c r="K72" s="269"/>
      <c r="L72" s="269"/>
      <c r="M72" s="269"/>
      <c r="N72" s="269"/>
      <c r="O72" s="269"/>
    </row>
    <row r="73" spans="1:17" ht="9.75" customHeight="1" x14ac:dyDescent="0.2">
      <c r="B73" s="269"/>
      <c r="C73" s="269"/>
      <c r="E73" s="269"/>
      <c r="H73" s="269"/>
      <c r="J73" s="269"/>
      <c r="K73" s="269"/>
      <c r="L73" s="269"/>
      <c r="M73" s="269"/>
      <c r="N73" s="269"/>
      <c r="O73" s="269"/>
    </row>
    <row r="74" spans="1:17" ht="9.75" customHeight="1" x14ac:dyDescent="0.2">
      <c r="B74" s="269"/>
      <c r="C74" s="269"/>
      <c r="E74" s="269"/>
      <c r="H74" s="269"/>
      <c r="J74" s="269"/>
      <c r="K74" s="269"/>
      <c r="L74" s="269"/>
      <c r="M74" s="269"/>
      <c r="N74" s="269"/>
      <c r="O74" s="269"/>
    </row>
    <row r="75" spans="1:17" ht="9.75" customHeight="1" x14ac:dyDescent="0.2">
      <c r="B75" s="269"/>
      <c r="C75" s="269"/>
      <c r="E75" s="269"/>
      <c r="H75" s="269"/>
      <c r="J75" s="269"/>
      <c r="K75" s="269"/>
      <c r="L75" s="269"/>
      <c r="M75" s="269"/>
      <c r="N75" s="269"/>
      <c r="O75" s="269"/>
    </row>
    <row r="76" spans="1:17" ht="9.75" customHeight="1" x14ac:dyDescent="0.2">
      <c r="B76" s="269"/>
      <c r="C76" s="269"/>
      <c r="E76" s="269"/>
      <c r="H76" s="269"/>
      <c r="J76" s="269"/>
      <c r="K76" s="269"/>
      <c r="L76" s="269"/>
      <c r="M76" s="269"/>
      <c r="N76" s="269"/>
      <c r="O76" s="269"/>
    </row>
    <row r="77" spans="1:17" ht="9.75" customHeight="1" x14ac:dyDescent="0.2">
      <c r="B77" s="269"/>
      <c r="C77" s="269"/>
      <c r="E77" s="269"/>
      <c r="H77" s="269"/>
      <c r="J77" s="269"/>
      <c r="K77" s="269"/>
      <c r="L77" s="269"/>
      <c r="M77" s="269"/>
      <c r="N77" s="269"/>
      <c r="O77" s="269"/>
    </row>
    <row r="78" spans="1:17" ht="9.75" customHeight="1" x14ac:dyDescent="0.2">
      <c r="B78" s="269"/>
      <c r="C78" s="269"/>
      <c r="E78" s="269"/>
      <c r="H78" s="269"/>
      <c r="J78" s="269"/>
      <c r="K78" s="269"/>
      <c r="L78" s="269"/>
      <c r="M78" s="269"/>
      <c r="N78" s="269"/>
      <c r="O78" s="269"/>
    </row>
    <row r="79" spans="1:17" ht="9.75" customHeight="1" x14ac:dyDescent="0.2">
      <c r="B79" s="269"/>
      <c r="C79" s="269"/>
      <c r="E79" s="269"/>
      <c r="H79" s="269"/>
      <c r="J79" s="269"/>
      <c r="K79" s="269"/>
      <c r="L79" s="269"/>
      <c r="M79" s="269"/>
      <c r="N79" s="269"/>
      <c r="O79" s="269"/>
    </row>
    <row r="80" spans="1:17" ht="9.75" customHeight="1" x14ac:dyDescent="0.2">
      <c r="B80" s="269"/>
      <c r="C80" s="269"/>
      <c r="E80" s="269"/>
      <c r="H80" s="269"/>
      <c r="J80" s="269"/>
      <c r="K80" s="269"/>
      <c r="L80" s="269"/>
      <c r="M80" s="269"/>
      <c r="N80" s="269"/>
      <c r="O80" s="269"/>
    </row>
    <row r="81" spans="2:15" ht="9.75" customHeight="1" x14ac:dyDescent="0.2">
      <c r="B81" s="269"/>
      <c r="C81" s="269"/>
      <c r="E81" s="269"/>
      <c r="H81" s="269"/>
      <c r="J81" s="269"/>
      <c r="K81" s="269"/>
      <c r="L81" s="269"/>
      <c r="M81" s="269"/>
      <c r="N81" s="269"/>
      <c r="O81" s="269"/>
    </row>
    <row r="82" spans="2:15" ht="9.75" customHeight="1" x14ac:dyDescent="0.2">
      <c r="B82" s="269"/>
      <c r="C82" s="269"/>
      <c r="E82" s="269"/>
      <c r="H82" s="269"/>
      <c r="J82" s="269"/>
      <c r="K82" s="269"/>
      <c r="L82" s="269"/>
      <c r="M82" s="269"/>
      <c r="N82" s="269"/>
      <c r="O82" s="269"/>
    </row>
    <row r="83" spans="2:15" ht="9.75" customHeight="1" x14ac:dyDescent="0.2">
      <c r="B83" s="269"/>
      <c r="C83" s="269"/>
      <c r="E83" s="269"/>
      <c r="H83" s="269"/>
      <c r="J83" s="269"/>
      <c r="K83" s="269"/>
      <c r="L83" s="269"/>
      <c r="M83" s="269"/>
      <c r="N83" s="269"/>
      <c r="O83" s="269"/>
    </row>
    <row r="84" spans="2:15" ht="9.75" customHeight="1" x14ac:dyDescent="0.2">
      <c r="B84" s="269"/>
      <c r="C84" s="269"/>
      <c r="E84" s="269"/>
      <c r="H84" s="269"/>
      <c r="J84" s="269"/>
      <c r="K84" s="269"/>
      <c r="L84" s="269"/>
      <c r="M84" s="269"/>
      <c r="N84" s="269"/>
      <c r="O84" s="269"/>
    </row>
    <row r="85" spans="2:15" ht="9.75" customHeight="1" x14ac:dyDescent="0.2">
      <c r="B85" s="269"/>
      <c r="C85" s="269"/>
      <c r="E85" s="269"/>
      <c r="H85" s="269"/>
      <c r="J85" s="269"/>
      <c r="K85" s="269"/>
      <c r="L85" s="269"/>
      <c r="M85" s="269"/>
      <c r="N85" s="269"/>
      <c r="O85" s="269"/>
    </row>
    <row r="86" spans="2:15" ht="9.75" customHeight="1" x14ac:dyDescent="0.2">
      <c r="B86" s="269"/>
      <c r="C86" s="269"/>
      <c r="E86" s="269"/>
      <c r="H86" s="269"/>
      <c r="J86" s="269"/>
      <c r="K86" s="269"/>
      <c r="L86" s="269"/>
      <c r="M86" s="269"/>
      <c r="N86" s="269"/>
      <c r="O86" s="269"/>
    </row>
    <row r="87" spans="2:15" ht="9.75" customHeight="1" x14ac:dyDescent="0.2">
      <c r="B87" s="269"/>
      <c r="C87" s="269"/>
      <c r="E87" s="269"/>
      <c r="H87" s="269"/>
      <c r="J87" s="269"/>
      <c r="K87" s="269"/>
      <c r="L87" s="269"/>
      <c r="M87" s="269"/>
      <c r="N87" s="269"/>
      <c r="O87" s="269"/>
    </row>
    <row r="88" spans="2:15" ht="9.75" customHeight="1" x14ac:dyDescent="0.2">
      <c r="B88" s="269"/>
      <c r="C88" s="269"/>
      <c r="E88" s="269"/>
      <c r="H88" s="269"/>
      <c r="J88" s="269"/>
      <c r="K88" s="269"/>
      <c r="L88" s="269"/>
      <c r="M88" s="269"/>
      <c r="N88" s="269"/>
      <c r="O88" s="269"/>
    </row>
    <row r="89" spans="2:15" ht="9.75" customHeight="1" x14ac:dyDescent="0.2">
      <c r="B89" s="269"/>
      <c r="C89" s="269"/>
      <c r="E89" s="269"/>
      <c r="H89" s="269"/>
      <c r="J89" s="269"/>
      <c r="K89" s="269"/>
      <c r="L89" s="269"/>
      <c r="M89" s="269"/>
      <c r="N89" s="269"/>
      <c r="O89" s="269"/>
    </row>
    <row r="90" spans="2:15" ht="9.75" customHeight="1" x14ac:dyDescent="0.2">
      <c r="B90" s="269"/>
      <c r="C90" s="269"/>
      <c r="E90" s="269"/>
      <c r="H90" s="269"/>
      <c r="J90" s="269"/>
      <c r="K90" s="269"/>
      <c r="L90" s="269"/>
      <c r="M90" s="269"/>
      <c r="N90" s="269"/>
      <c r="O90" s="269"/>
    </row>
    <row r="91" spans="2:15" ht="9.75" customHeight="1" x14ac:dyDescent="0.2">
      <c r="B91" s="269"/>
      <c r="C91" s="269"/>
      <c r="E91" s="269"/>
      <c r="H91" s="269"/>
      <c r="J91" s="269"/>
      <c r="K91" s="269"/>
      <c r="L91" s="269"/>
      <c r="M91" s="269"/>
      <c r="N91" s="269"/>
      <c r="O91" s="269"/>
    </row>
    <row r="92" spans="2:15" ht="9.75" customHeight="1" x14ac:dyDescent="0.2">
      <c r="B92" s="269"/>
      <c r="C92" s="269"/>
      <c r="E92" s="269"/>
      <c r="H92" s="269"/>
      <c r="J92" s="269"/>
      <c r="K92" s="269"/>
      <c r="L92" s="269"/>
      <c r="M92" s="269"/>
      <c r="N92" s="269"/>
      <c r="O92" s="269"/>
    </row>
    <row r="93" spans="2:15" ht="9.75" customHeight="1" x14ac:dyDescent="0.2">
      <c r="B93" s="269"/>
      <c r="C93" s="269"/>
      <c r="E93" s="269"/>
      <c r="H93" s="269"/>
      <c r="J93" s="269"/>
      <c r="K93" s="269"/>
      <c r="L93" s="269"/>
      <c r="M93" s="269"/>
      <c r="N93" s="269"/>
      <c r="O93" s="269"/>
    </row>
    <row r="94" spans="2:15" ht="9.75" customHeight="1" x14ac:dyDescent="0.2">
      <c r="B94" s="269"/>
      <c r="C94" s="269"/>
      <c r="E94" s="269"/>
      <c r="H94" s="269"/>
      <c r="J94" s="269"/>
      <c r="K94" s="269"/>
      <c r="L94" s="269"/>
      <c r="M94" s="269"/>
      <c r="N94" s="269"/>
      <c r="O94" s="269"/>
    </row>
    <row r="95" spans="2:15" ht="9.75" customHeight="1" x14ac:dyDescent="0.2">
      <c r="B95" s="269"/>
      <c r="C95" s="269"/>
      <c r="E95" s="269"/>
      <c r="H95" s="269"/>
      <c r="J95" s="269"/>
      <c r="K95" s="269"/>
      <c r="L95" s="269"/>
      <c r="M95" s="269"/>
      <c r="N95" s="269"/>
      <c r="O95" s="269"/>
    </row>
    <row r="96" spans="2:15" ht="9.75" customHeight="1" x14ac:dyDescent="0.2">
      <c r="B96" s="269"/>
      <c r="C96" s="269"/>
      <c r="E96" s="269"/>
      <c r="H96" s="269"/>
      <c r="J96" s="269"/>
      <c r="K96" s="269"/>
      <c r="L96" s="269"/>
      <c r="M96" s="269"/>
      <c r="N96" s="269"/>
      <c r="O96" s="269"/>
    </row>
    <row r="97" spans="2:15" ht="9.75" customHeight="1" x14ac:dyDescent="0.2">
      <c r="B97" s="269"/>
      <c r="C97" s="269"/>
      <c r="E97" s="269"/>
      <c r="H97" s="269"/>
      <c r="J97" s="269"/>
      <c r="K97" s="269"/>
      <c r="L97" s="269"/>
      <c r="M97" s="269"/>
      <c r="N97" s="269"/>
      <c r="O97" s="269"/>
    </row>
    <row r="98" spans="2:15" ht="9.75" customHeight="1" x14ac:dyDescent="0.2">
      <c r="B98" s="269"/>
      <c r="C98" s="269"/>
      <c r="E98" s="269"/>
      <c r="H98" s="269"/>
      <c r="J98" s="269"/>
      <c r="K98" s="269"/>
      <c r="L98" s="269"/>
      <c r="M98" s="269"/>
      <c r="N98" s="269"/>
      <c r="O98" s="269"/>
    </row>
    <row r="99" spans="2:15" ht="9.75" customHeight="1" x14ac:dyDescent="0.2">
      <c r="B99" s="269"/>
      <c r="C99" s="269"/>
      <c r="E99" s="269"/>
      <c r="H99" s="269"/>
      <c r="J99" s="269"/>
      <c r="K99" s="269"/>
      <c r="L99" s="269"/>
      <c r="M99" s="269"/>
      <c r="N99" s="269"/>
      <c r="O99" s="269"/>
    </row>
    <row r="100" spans="2:15" ht="9.75" customHeight="1" x14ac:dyDescent="0.2">
      <c r="B100" s="269"/>
      <c r="C100" s="269"/>
      <c r="E100" s="269"/>
      <c r="H100" s="269"/>
      <c r="J100" s="269"/>
      <c r="K100" s="269"/>
      <c r="L100" s="269"/>
      <c r="M100" s="269"/>
      <c r="N100" s="269"/>
      <c r="O100" s="269"/>
    </row>
    <row r="101" spans="2:15" ht="9.75" customHeight="1" x14ac:dyDescent="0.2">
      <c r="B101" s="269"/>
      <c r="C101" s="269"/>
      <c r="E101" s="269"/>
      <c r="H101" s="269"/>
      <c r="J101" s="269"/>
      <c r="K101" s="269"/>
      <c r="L101" s="269"/>
      <c r="M101" s="269"/>
      <c r="N101" s="269"/>
      <c r="O101" s="269"/>
    </row>
    <row r="102" spans="2:15" ht="9.75" customHeight="1" x14ac:dyDescent="0.2">
      <c r="B102" s="269"/>
      <c r="C102" s="269"/>
      <c r="E102" s="269"/>
      <c r="H102" s="269"/>
      <c r="J102" s="269"/>
      <c r="K102" s="269"/>
      <c r="L102" s="269"/>
      <c r="M102" s="269"/>
      <c r="N102" s="269"/>
      <c r="O102" s="269"/>
    </row>
    <row r="103" spans="2:15" ht="9.75" customHeight="1" x14ac:dyDescent="0.2">
      <c r="B103" s="269"/>
      <c r="C103" s="269"/>
      <c r="E103" s="269"/>
      <c r="H103" s="269"/>
      <c r="J103" s="269"/>
      <c r="K103" s="269"/>
      <c r="L103" s="269"/>
      <c r="M103" s="269"/>
      <c r="N103" s="269"/>
      <c r="O103" s="269"/>
    </row>
    <row r="104" spans="2:15" ht="9.75" customHeight="1" x14ac:dyDescent="0.2">
      <c r="B104" s="269"/>
      <c r="C104" s="269"/>
      <c r="E104" s="269"/>
      <c r="H104" s="269"/>
      <c r="J104" s="269"/>
      <c r="K104" s="269"/>
      <c r="L104" s="269"/>
      <c r="M104" s="269"/>
      <c r="N104" s="269"/>
      <c r="O104" s="269"/>
    </row>
    <row r="105" spans="2:15" ht="9.75" customHeight="1" x14ac:dyDescent="0.2">
      <c r="B105" s="269"/>
      <c r="C105" s="269"/>
      <c r="E105" s="269"/>
      <c r="H105" s="269"/>
      <c r="J105" s="269"/>
      <c r="K105" s="269"/>
      <c r="L105" s="269"/>
      <c r="M105" s="269"/>
      <c r="N105" s="269"/>
      <c r="O105" s="269"/>
    </row>
    <row r="106" spans="2:15" ht="9.75" customHeight="1" x14ac:dyDescent="0.2">
      <c r="B106" s="269"/>
      <c r="C106" s="269"/>
      <c r="E106" s="269"/>
      <c r="H106" s="269"/>
      <c r="J106" s="269"/>
      <c r="K106" s="269"/>
      <c r="L106" s="269"/>
      <c r="M106" s="269"/>
      <c r="N106" s="269"/>
      <c r="O106" s="269"/>
    </row>
    <row r="107" spans="2:15" ht="9.75" customHeight="1" x14ac:dyDescent="0.2">
      <c r="B107" s="269"/>
      <c r="C107" s="269"/>
      <c r="E107" s="269"/>
      <c r="H107" s="269"/>
      <c r="J107" s="269"/>
      <c r="K107" s="269"/>
      <c r="L107" s="269"/>
      <c r="M107" s="269"/>
      <c r="N107" s="269"/>
      <c r="O107" s="269"/>
    </row>
    <row r="108" spans="2:15" ht="9.75" customHeight="1" x14ac:dyDescent="0.2">
      <c r="B108" s="269"/>
      <c r="C108" s="269"/>
      <c r="E108" s="269"/>
      <c r="H108" s="269"/>
      <c r="J108" s="269"/>
      <c r="K108" s="269"/>
      <c r="L108" s="269"/>
      <c r="M108" s="269"/>
      <c r="N108" s="269"/>
      <c r="O108" s="269"/>
    </row>
    <row r="109" spans="2:15" ht="9.75" customHeight="1" x14ac:dyDescent="0.2">
      <c r="B109" s="269"/>
      <c r="C109" s="269"/>
      <c r="E109" s="269"/>
      <c r="H109" s="269"/>
      <c r="J109" s="269"/>
      <c r="K109" s="269"/>
      <c r="L109" s="269"/>
      <c r="M109" s="269"/>
      <c r="N109" s="269"/>
      <c r="O109" s="269"/>
    </row>
    <row r="110" spans="2:15" ht="9.75" customHeight="1" x14ac:dyDescent="0.2">
      <c r="B110" s="269"/>
      <c r="C110" s="269"/>
      <c r="E110" s="269"/>
      <c r="H110" s="269"/>
      <c r="J110" s="269"/>
      <c r="K110" s="269"/>
      <c r="L110" s="269"/>
      <c r="M110" s="269"/>
      <c r="N110" s="269"/>
      <c r="O110" s="269"/>
    </row>
    <row r="111" spans="2:15" ht="9.75" customHeight="1" x14ac:dyDescent="0.2">
      <c r="B111" s="269"/>
      <c r="C111" s="269"/>
      <c r="E111" s="269"/>
      <c r="H111" s="269"/>
      <c r="J111" s="269"/>
      <c r="K111" s="269"/>
      <c r="L111" s="269"/>
      <c r="M111" s="269"/>
      <c r="N111" s="269"/>
      <c r="O111" s="269"/>
    </row>
    <row r="112" spans="2:15" ht="9.75" customHeight="1" x14ac:dyDescent="0.2">
      <c r="B112" s="269"/>
      <c r="C112" s="269"/>
      <c r="E112" s="269"/>
      <c r="H112" s="269"/>
      <c r="J112" s="269"/>
      <c r="K112" s="269"/>
      <c r="L112" s="269"/>
      <c r="M112" s="269"/>
      <c r="N112" s="269"/>
      <c r="O112" s="269"/>
    </row>
    <row r="113" spans="2:15" ht="9.75" customHeight="1" x14ac:dyDescent="0.2">
      <c r="B113" s="269"/>
      <c r="C113" s="269"/>
      <c r="E113" s="269"/>
      <c r="H113" s="269"/>
      <c r="J113" s="269"/>
      <c r="K113" s="269"/>
      <c r="L113" s="269"/>
      <c r="M113" s="269"/>
      <c r="N113" s="269"/>
      <c r="O113" s="269"/>
    </row>
    <row r="114" spans="2:15" ht="9.75" customHeight="1" x14ac:dyDescent="0.2">
      <c r="B114" s="269"/>
      <c r="C114" s="269"/>
      <c r="E114" s="269"/>
      <c r="H114" s="269"/>
      <c r="J114" s="269"/>
      <c r="K114" s="269"/>
      <c r="L114" s="269"/>
      <c r="M114" s="269"/>
      <c r="N114" s="269"/>
      <c r="O114" s="269"/>
    </row>
    <row r="115" spans="2:15" ht="9.75" customHeight="1" x14ac:dyDescent="0.2">
      <c r="B115" s="269"/>
      <c r="C115" s="269"/>
      <c r="E115" s="269"/>
      <c r="H115" s="269"/>
      <c r="J115" s="269"/>
      <c r="K115" s="269"/>
      <c r="L115" s="269"/>
      <c r="M115" s="269"/>
      <c r="N115" s="269"/>
      <c r="O115" s="269"/>
    </row>
    <row r="116" spans="2:15" ht="9.75" customHeight="1" x14ac:dyDescent="0.2">
      <c r="B116" s="269"/>
      <c r="C116" s="269"/>
      <c r="E116" s="269"/>
      <c r="H116" s="269"/>
      <c r="J116" s="269"/>
      <c r="K116" s="269"/>
      <c r="L116" s="269"/>
      <c r="M116" s="269"/>
      <c r="N116" s="269"/>
      <c r="O116" s="269"/>
    </row>
    <row r="117" spans="2:15" ht="9.75" customHeight="1" x14ac:dyDescent="0.2">
      <c r="B117" s="269"/>
      <c r="C117" s="269"/>
      <c r="E117" s="269"/>
      <c r="H117" s="269"/>
      <c r="J117" s="269"/>
      <c r="K117" s="269"/>
      <c r="L117" s="269"/>
      <c r="M117" s="269"/>
      <c r="N117" s="269"/>
      <c r="O117" s="269"/>
    </row>
    <row r="118" spans="2:15" ht="9.75" customHeight="1" x14ac:dyDescent="0.2">
      <c r="B118" s="269"/>
      <c r="C118" s="269"/>
      <c r="E118" s="269"/>
      <c r="H118" s="269"/>
      <c r="J118" s="269"/>
      <c r="K118" s="269"/>
      <c r="L118" s="269"/>
      <c r="M118" s="269"/>
      <c r="N118" s="269"/>
      <c r="O118" s="269"/>
    </row>
    <row r="119" spans="2:15" ht="9.75" customHeight="1" x14ac:dyDescent="0.2">
      <c r="B119" s="269"/>
      <c r="C119" s="269"/>
      <c r="E119" s="269"/>
      <c r="H119" s="269"/>
      <c r="J119" s="269"/>
      <c r="K119" s="269"/>
      <c r="L119" s="269"/>
      <c r="M119" s="269"/>
      <c r="N119" s="269"/>
      <c r="O119" s="269"/>
    </row>
    <row r="120" spans="2:15" ht="9.75" customHeight="1" x14ac:dyDescent="0.2">
      <c r="B120" s="269"/>
      <c r="C120" s="269"/>
      <c r="E120" s="269"/>
      <c r="H120" s="269"/>
      <c r="J120" s="269"/>
      <c r="K120" s="269"/>
      <c r="L120" s="269"/>
      <c r="M120" s="269"/>
      <c r="N120" s="269"/>
      <c r="O120" s="269"/>
    </row>
    <row r="121" spans="2:15" ht="9.75" customHeight="1" x14ac:dyDescent="0.2">
      <c r="B121" s="269"/>
      <c r="C121" s="269"/>
      <c r="E121" s="269"/>
      <c r="H121" s="269"/>
      <c r="J121" s="269"/>
      <c r="K121" s="269"/>
      <c r="L121" s="269"/>
      <c r="M121" s="269"/>
      <c r="N121" s="269"/>
      <c r="O121" s="269"/>
    </row>
    <row r="122" spans="2:15" ht="9.75" customHeight="1" x14ac:dyDescent="0.2">
      <c r="B122" s="269"/>
      <c r="C122" s="269"/>
      <c r="E122" s="269"/>
      <c r="H122" s="269"/>
      <c r="J122" s="269"/>
      <c r="K122" s="269"/>
      <c r="L122" s="269"/>
      <c r="M122" s="269"/>
      <c r="N122" s="269"/>
      <c r="O122" s="269"/>
    </row>
    <row r="123" spans="2:15" ht="9.75" customHeight="1" x14ac:dyDescent="0.2">
      <c r="B123" s="269"/>
      <c r="C123" s="269"/>
      <c r="E123" s="269"/>
      <c r="H123" s="269"/>
      <c r="J123" s="269"/>
      <c r="K123" s="269"/>
      <c r="L123" s="269"/>
      <c r="M123" s="269"/>
      <c r="N123" s="269"/>
      <c r="O123" s="269"/>
    </row>
    <row r="124" spans="2:15" ht="9.75" customHeight="1" x14ac:dyDescent="0.2">
      <c r="B124" s="269"/>
      <c r="C124" s="269"/>
      <c r="E124" s="269"/>
      <c r="H124" s="269"/>
      <c r="J124" s="269"/>
      <c r="K124" s="269"/>
      <c r="L124" s="269"/>
      <c r="M124" s="269"/>
      <c r="N124" s="269"/>
      <c r="O124" s="269"/>
    </row>
    <row r="125" spans="2:15" ht="9.75" customHeight="1" x14ac:dyDescent="0.2">
      <c r="B125" s="269"/>
      <c r="C125" s="269"/>
      <c r="E125" s="269"/>
      <c r="H125" s="269"/>
      <c r="J125" s="269"/>
      <c r="K125" s="269"/>
      <c r="L125" s="269"/>
      <c r="M125" s="269"/>
      <c r="N125" s="269"/>
      <c r="O125" s="269"/>
    </row>
    <row r="126" spans="2:15" ht="9.75" customHeight="1" x14ac:dyDescent="0.2">
      <c r="B126" s="269"/>
      <c r="C126" s="269"/>
      <c r="E126" s="269"/>
      <c r="H126" s="269"/>
      <c r="J126" s="269"/>
      <c r="K126" s="269"/>
      <c r="L126" s="269"/>
      <c r="M126" s="269"/>
      <c r="N126" s="269"/>
      <c r="O126" s="269"/>
    </row>
    <row r="127" spans="2:15" ht="9.75" customHeight="1" x14ac:dyDescent="0.2">
      <c r="B127" s="269"/>
      <c r="C127" s="269"/>
      <c r="E127" s="269"/>
      <c r="H127" s="269"/>
      <c r="J127" s="269"/>
      <c r="K127" s="269"/>
      <c r="L127" s="269"/>
      <c r="M127" s="269"/>
      <c r="N127" s="269"/>
      <c r="O127" s="269"/>
    </row>
    <row r="128" spans="2:15" ht="9.75" customHeight="1" x14ac:dyDescent="0.2">
      <c r="B128" s="269"/>
      <c r="C128" s="269"/>
      <c r="E128" s="269"/>
      <c r="H128" s="269"/>
      <c r="J128" s="269"/>
      <c r="K128" s="269"/>
      <c r="L128" s="269"/>
      <c r="M128" s="269"/>
      <c r="N128" s="269"/>
      <c r="O128" s="269"/>
    </row>
    <row r="129" spans="2:15" ht="9.75" customHeight="1" x14ac:dyDescent="0.2">
      <c r="B129" s="269"/>
      <c r="C129" s="269"/>
      <c r="E129" s="269"/>
      <c r="H129" s="269"/>
      <c r="J129" s="269"/>
      <c r="K129" s="269"/>
      <c r="L129" s="269"/>
      <c r="M129" s="269"/>
      <c r="N129" s="269"/>
      <c r="O129" s="269"/>
    </row>
    <row r="130" spans="2:15" ht="9.75" customHeight="1" x14ac:dyDescent="0.2">
      <c r="B130" s="269"/>
      <c r="C130" s="269"/>
      <c r="E130" s="269"/>
      <c r="H130" s="269"/>
      <c r="J130" s="269"/>
      <c r="K130" s="269"/>
      <c r="L130" s="269"/>
      <c r="M130" s="269"/>
      <c r="N130" s="269"/>
      <c r="O130" s="269"/>
    </row>
    <row r="131" spans="2:15" ht="9.75" customHeight="1" x14ac:dyDescent="0.2">
      <c r="B131" s="269"/>
      <c r="C131" s="269"/>
      <c r="E131" s="269"/>
      <c r="H131" s="269"/>
      <c r="J131" s="269"/>
      <c r="K131" s="269"/>
      <c r="L131" s="269"/>
      <c r="M131" s="269"/>
      <c r="N131" s="269"/>
      <c r="O131" s="269"/>
    </row>
    <row r="132" spans="2:15" ht="9.75" customHeight="1" x14ac:dyDescent="0.2">
      <c r="B132" s="269"/>
      <c r="C132" s="269"/>
      <c r="E132" s="269"/>
      <c r="H132" s="269"/>
      <c r="J132" s="269"/>
      <c r="K132" s="269"/>
      <c r="L132" s="269"/>
      <c r="M132" s="269"/>
      <c r="N132" s="269"/>
      <c r="O132" s="269"/>
    </row>
    <row r="133" spans="2:15" ht="9.75" customHeight="1" x14ac:dyDescent="0.2">
      <c r="B133" s="269"/>
      <c r="C133" s="269"/>
      <c r="E133" s="269"/>
      <c r="H133" s="269"/>
      <c r="J133" s="269"/>
      <c r="K133" s="269"/>
      <c r="L133" s="269"/>
      <c r="M133" s="269"/>
      <c r="N133" s="269"/>
      <c r="O133" s="269"/>
    </row>
    <row r="134" spans="2:15" ht="9.75" customHeight="1" x14ac:dyDescent="0.2">
      <c r="B134" s="269"/>
      <c r="C134" s="269"/>
      <c r="E134" s="269"/>
      <c r="H134" s="269"/>
      <c r="J134" s="269"/>
      <c r="K134" s="269"/>
      <c r="L134" s="269"/>
      <c r="M134" s="269"/>
      <c r="N134" s="269"/>
      <c r="O134" s="269"/>
    </row>
    <row r="135" spans="2:15" ht="9.75" customHeight="1" x14ac:dyDescent="0.2">
      <c r="B135" s="269"/>
      <c r="C135" s="269"/>
      <c r="E135" s="269"/>
      <c r="H135" s="269"/>
      <c r="J135" s="269"/>
      <c r="K135" s="269"/>
      <c r="L135" s="269"/>
      <c r="M135" s="269"/>
      <c r="N135" s="269"/>
      <c r="O135" s="269"/>
    </row>
    <row r="136" spans="2:15" ht="9.75" customHeight="1" x14ac:dyDescent="0.2">
      <c r="B136" s="269"/>
      <c r="C136" s="269"/>
      <c r="E136" s="269"/>
      <c r="H136" s="269"/>
      <c r="J136" s="269"/>
      <c r="K136" s="269"/>
      <c r="L136" s="269"/>
      <c r="M136" s="269"/>
      <c r="N136" s="269"/>
      <c r="O136" s="269"/>
    </row>
    <row r="137" spans="2:15" ht="9.75" customHeight="1" x14ac:dyDescent="0.2">
      <c r="B137" s="269"/>
      <c r="C137" s="269"/>
      <c r="E137" s="269"/>
      <c r="H137" s="269"/>
      <c r="J137" s="269"/>
      <c r="K137" s="269"/>
      <c r="L137" s="269"/>
      <c r="M137" s="269"/>
      <c r="N137" s="269"/>
      <c r="O137" s="269"/>
    </row>
    <row r="138" spans="2:15" ht="9.75" customHeight="1" x14ac:dyDescent="0.2">
      <c r="B138" s="269"/>
      <c r="C138" s="269"/>
      <c r="E138" s="269"/>
      <c r="H138" s="269"/>
      <c r="J138" s="269"/>
      <c r="K138" s="269"/>
      <c r="L138" s="269"/>
      <c r="M138" s="269"/>
      <c r="N138" s="269"/>
      <c r="O138" s="269"/>
    </row>
    <row r="139" spans="2:15" ht="9.75" customHeight="1" x14ac:dyDescent="0.2">
      <c r="B139" s="269"/>
      <c r="C139" s="269"/>
      <c r="E139" s="269"/>
      <c r="H139" s="269"/>
      <c r="J139" s="269"/>
      <c r="K139" s="269"/>
      <c r="L139" s="269"/>
      <c r="M139" s="269"/>
      <c r="N139" s="269"/>
      <c r="O139" s="269"/>
    </row>
    <row r="140" spans="2:15" ht="9.75" customHeight="1" x14ac:dyDescent="0.2">
      <c r="B140" s="269"/>
      <c r="C140" s="269"/>
      <c r="E140" s="269"/>
      <c r="H140" s="269"/>
      <c r="J140" s="269"/>
      <c r="K140" s="269"/>
      <c r="L140" s="269"/>
      <c r="M140" s="269"/>
      <c r="N140" s="269"/>
      <c r="O140" s="269"/>
    </row>
    <row r="141" spans="2:15" ht="9.75" customHeight="1" x14ac:dyDescent="0.2">
      <c r="B141" s="269"/>
      <c r="C141" s="269"/>
      <c r="E141" s="269"/>
      <c r="H141" s="269"/>
      <c r="J141" s="269"/>
      <c r="K141" s="269"/>
      <c r="L141" s="269"/>
      <c r="M141" s="269"/>
      <c r="N141" s="269"/>
      <c r="O141" s="269"/>
    </row>
    <row r="142" spans="2:15" ht="9.75" customHeight="1" x14ac:dyDescent="0.2">
      <c r="B142" s="269"/>
      <c r="C142" s="269"/>
      <c r="E142" s="269"/>
      <c r="H142" s="269"/>
      <c r="J142" s="269"/>
      <c r="K142" s="269"/>
      <c r="L142" s="269"/>
      <c r="M142" s="269"/>
      <c r="N142" s="269"/>
      <c r="O142" s="269"/>
    </row>
    <row r="143" spans="2:15" ht="9.75" customHeight="1" x14ac:dyDescent="0.2">
      <c r="B143" s="269"/>
      <c r="C143" s="269"/>
      <c r="E143" s="269"/>
      <c r="H143" s="269"/>
      <c r="J143" s="269"/>
      <c r="K143" s="269"/>
      <c r="L143" s="269"/>
      <c r="M143" s="269"/>
      <c r="N143" s="269"/>
      <c r="O143" s="269"/>
    </row>
    <row r="144" spans="2:15" ht="9.75" customHeight="1" x14ac:dyDescent="0.2">
      <c r="B144" s="269"/>
      <c r="C144" s="269"/>
      <c r="E144" s="269"/>
      <c r="H144" s="269"/>
      <c r="J144" s="269"/>
      <c r="K144" s="269"/>
      <c r="L144" s="269"/>
      <c r="M144" s="269"/>
      <c r="N144" s="269"/>
      <c r="O144" s="269"/>
    </row>
    <row r="145" spans="2:15" ht="9.75" customHeight="1" x14ac:dyDescent="0.2">
      <c r="B145" s="269"/>
      <c r="C145" s="269"/>
      <c r="E145" s="269"/>
      <c r="H145" s="269"/>
      <c r="J145" s="269"/>
      <c r="K145" s="269"/>
      <c r="L145" s="269"/>
      <c r="M145" s="269"/>
      <c r="N145" s="269"/>
      <c r="O145" s="269"/>
    </row>
    <row r="146" spans="2:15" ht="9.75" customHeight="1" x14ac:dyDescent="0.2">
      <c r="B146" s="269"/>
      <c r="C146" s="269"/>
      <c r="E146" s="269"/>
      <c r="H146" s="269"/>
      <c r="J146" s="269"/>
      <c r="K146" s="269"/>
      <c r="L146" s="269"/>
      <c r="M146" s="269"/>
      <c r="N146" s="269"/>
      <c r="O146" s="269"/>
    </row>
    <row r="147" spans="2:15" ht="9.75" customHeight="1" x14ac:dyDescent="0.2">
      <c r="B147" s="269"/>
      <c r="C147" s="269"/>
      <c r="E147" s="269"/>
      <c r="H147" s="269"/>
      <c r="J147" s="269"/>
      <c r="K147" s="269"/>
      <c r="L147" s="269"/>
      <c r="M147" s="269"/>
      <c r="N147" s="269"/>
      <c r="O147" s="269"/>
    </row>
    <row r="148" spans="2:15" ht="9.75" customHeight="1" x14ac:dyDescent="0.2">
      <c r="B148" s="269"/>
      <c r="C148" s="269"/>
      <c r="E148" s="269"/>
      <c r="H148" s="269"/>
      <c r="J148" s="269"/>
      <c r="K148" s="269"/>
      <c r="L148" s="269"/>
      <c r="M148" s="269"/>
      <c r="N148" s="269"/>
      <c r="O148" s="269"/>
    </row>
    <row r="149" spans="2:15" ht="9.75" customHeight="1" x14ac:dyDescent="0.2">
      <c r="B149" s="269"/>
      <c r="C149" s="269"/>
      <c r="E149" s="269"/>
      <c r="H149" s="269"/>
      <c r="J149" s="269"/>
      <c r="K149" s="269"/>
      <c r="L149" s="269"/>
      <c r="M149" s="269"/>
      <c r="N149" s="269"/>
      <c r="O149" s="269"/>
    </row>
    <row r="150" spans="2:15" ht="9.75" customHeight="1" x14ac:dyDescent="0.2">
      <c r="B150" s="269"/>
      <c r="C150" s="269"/>
      <c r="E150" s="269"/>
      <c r="H150" s="269"/>
      <c r="J150" s="269"/>
      <c r="K150" s="269"/>
      <c r="L150" s="269"/>
      <c r="M150" s="269"/>
      <c r="N150" s="269"/>
      <c r="O150" s="269"/>
    </row>
    <row r="151" spans="2:15" ht="9.75" customHeight="1" x14ac:dyDescent="0.2">
      <c r="B151" s="269"/>
      <c r="C151" s="269"/>
      <c r="E151" s="269"/>
      <c r="H151" s="269"/>
      <c r="J151" s="269"/>
      <c r="K151" s="269"/>
      <c r="L151" s="269"/>
      <c r="M151" s="269"/>
      <c r="N151" s="269"/>
      <c r="O151" s="269"/>
    </row>
    <row r="152" spans="2:15" ht="9.75" customHeight="1" x14ac:dyDescent="0.2">
      <c r="B152" s="269"/>
      <c r="C152" s="269"/>
      <c r="E152" s="269"/>
      <c r="H152" s="269"/>
      <c r="J152" s="269"/>
      <c r="K152" s="269"/>
      <c r="L152" s="269"/>
      <c r="M152" s="269"/>
      <c r="N152" s="269"/>
      <c r="O152" s="269"/>
    </row>
    <row r="153" spans="2:15" ht="9.75" customHeight="1" x14ac:dyDescent="0.2">
      <c r="B153" s="269"/>
      <c r="C153" s="269"/>
      <c r="E153" s="269"/>
      <c r="H153" s="269"/>
      <c r="J153" s="269"/>
      <c r="K153" s="269"/>
      <c r="L153" s="269"/>
      <c r="M153" s="269"/>
      <c r="N153" s="269"/>
      <c r="O153" s="269"/>
    </row>
    <row r="154" spans="2:15" ht="9.75" customHeight="1" x14ac:dyDescent="0.2">
      <c r="B154" s="269"/>
      <c r="C154" s="269"/>
      <c r="E154" s="269"/>
      <c r="H154" s="269"/>
      <c r="J154" s="269"/>
      <c r="K154" s="269"/>
      <c r="L154" s="269"/>
      <c r="M154" s="269"/>
      <c r="N154" s="269"/>
      <c r="O154" s="269"/>
    </row>
    <row r="155" spans="2:15" ht="9.75" customHeight="1" x14ac:dyDescent="0.2">
      <c r="B155" s="269"/>
      <c r="C155" s="269"/>
      <c r="E155" s="269"/>
      <c r="H155" s="269"/>
      <c r="J155" s="269"/>
      <c r="K155" s="269"/>
      <c r="L155" s="269"/>
      <c r="M155" s="269"/>
      <c r="N155" s="269"/>
      <c r="O155" s="269"/>
    </row>
    <row r="156" spans="2:15" ht="9.75" customHeight="1" x14ac:dyDescent="0.2">
      <c r="B156" s="269"/>
      <c r="C156" s="269"/>
      <c r="E156" s="269"/>
      <c r="H156" s="269"/>
      <c r="J156" s="269"/>
      <c r="K156" s="269"/>
      <c r="L156" s="269"/>
      <c r="M156" s="269"/>
      <c r="N156" s="269"/>
      <c r="O156" s="269"/>
    </row>
    <row r="157" spans="2:15" ht="9.75" customHeight="1" x14ac:dyDescent="0.2">
      <c r="B157" s="269"/>
      <c r="C157" s="269"/>
      <c r="E157" s="269"/>
      <c r="H157" s="269"/>
      <c r="J157" s="269"/>
      <c r="K157" s="269"/>
      <c r="L157" s="269"/>
      <c r="M157" s="269"/>
      <c r="N157" s="269"/>
      <c r="O157" s="269"/>
    </row>
    <row r="158" spans="2:15" ht="9.75" customHeight="1" x14ac:dyDescent="0.2">
      <c r="B158" s="269"/>
      <c r="C158" s="269"/>
      <c r="E158" s="269"/>
      <c r="H158" s="269"/>
      <c r="J158" s="269"/>
      <c r="K158" s="269"/>
      <c r="L158" s="269"/>
      <c r="M158" s="269"/>
      <c r="N158" s="269"/>
      <c r="O158" s="269"/>
    </row>
    <row r="159" spans="2:15" ht="9.75" customHeight="1" x14ac:dyDescent="0.2">
      <c r="B159" s="269"/>
      <c r="C159" s="269"/>
      <c r="E159" s="269"/>
      <c r="H159" s="269"/>
      <c r="J159" s="269"/>
      <c r="K159" s="269"/>
      <c r="L159" s="269"/>
      <c r="M159" s="269"/>
      <c r="N159" s="269"/>
      <c r="O159" s="269"/>
    </row>
    <row r="160" spans="2:15" ht="9.75" customHeight="1" x14ac:dyDescent="0.2">
      <c r="B160" s="269"/>
      <c r="C160" s="269"/>
      <c r="E160" s="269"/>
      <c r="H160" s="269"/>
      <c r="J160" s="269"/>
      <c r="K160" s="269"/>
      <c r="L160" s="269"/>
      <c r="M160" s="269"/>
      <c r="N160" s="269"/>
      <c r="O160" s="269"/>
    </row>
    <row r="161" spans="2:15" ht="9.75" customHeight="1" x14ac:dyDescent="0.2">
      <c r="B161" s="269"/>
      <c r="C161" s="269"/>
      <c r="E161" s="269"/>
      <c r="H161" s="269"/>
      <c r="J161" s="269"/>
      <c r="K161" s="269"/>
      <c r="L161" s="269"/>
      <c r="M161" s="269"/>
      <c r="N161" s="269"/>
      <c r="O161" s="269"/>
    </row>
    <row r="162" spans="2:15" ht="9.75" customHeight="1" x14ac:dyDescent="0.2">
      <c r="B162" s="269"/>
      <c r="C162" s="269"/>
      <c r="E162" s="269"/>
      <c r="H162" s="269"/>
      <c r="J162" s="269"/>
      <c r="K162" s="269"/>
      <c r="L162" s="269"/>
      <c r="M162" s="269"/>
      <c r="N162" s="269"/>
      <c r="O162" s="269"/>
    </row>
    <row r="163" spans="2:15" ht="9.75" customHeight="1" x14ac:dyDescent="0.2">
      <c r="B163" s="269"/>
      <c r="C163" s="269"/>
      <c r="E163" s="269"/>
      <c r="H163" s="269"/>
      <c r="J163" s="269"/>
      <c r="K163" s="269"/>
      <c r="L163" s="269"/>
      <c r="M163" s="269"/>
      <c r="N163" s="269"/>
      <c r="O163" s="269"/>
    </row>
    <row r="164" spans="2:15" ht="9.75" customHeight="1" x14ac:dyDescent="0.2">
      <c r="B164" s="269"/>
      <c r="C164" s="269"/>
      <c r="E164" s="269"/>
      <c r="H164" s="269"/>
      <c r="J164" s="269"/>
      <c r="K164" s="269"/>
      <c r="L164" s="269"/>
      <c r="M164" s="269"/>
      <c r="N164" s="269"/>
      <c r="O164" s="269"/>
    </row>
    <row r="165" spans="2:15" ht="9.75" customHeight="1" x14ac:dyDescent="0.2">
      <c r="B165" s="269"/>
      <c r="C165" s="269"/>
      <c r="E165" s="269"/>
      <c r="H165" s="269"/>
      <c r="J165" s="269"/>
      <c r="K165" s="269"/>
      <c r="L165" s="269"/>
      <c r="M165" s="269"/>
      <c r="N165" s="269"/>
      <c r="O165" s="269"/>
    </row>
    <row r="166" spans="2:15" ht="9.75" customHeight="1" x14ac:dyDescent="0.2">
      <c r="B166" s="269"/>
      <c r="C166" s="269"/>
      <c r="E166" s="269"/>
      <c r="H166" s="269"/>
      <c r="J166" s="269"/>
      <c r="K166" s="269"/>
      <c r="L166" s="269"/>
      <c r="M166" s="269"/>
      <c r="N166" s="269"/>
      <c r="O166" s="269"/>
    </row>
    <row r="167" spans="2:15" ht="9.75" customHeight="1" x14ac:dyDescent="0.2">
      <c r="B167" s="269"/>
      <c r="C167" s="269"/>
      <c r="E167" s="269"/>
      <c r="H167" s="269"/>
      <c r="J167" s="269"/>
      <c r="K167" s="269"/>
      <c r="L167" s="269"/>
      <c r="M167" s="269"/>
      <c r="N167" s="269"/>
      <c r="O167" s="269"/>
    </row>
    <row r="168" spans="2:15" ht="9.75" customHeight="1" x14ac:dyDescent="0.2">
      <c r="B168" s="269"/>
      <c r="C168" s="269"/>
      <c r="E168" s="269"/>
      <c r="H168" s="269"/>
      <c r="J168" s="269"/>
      <c r="K168" s="269"/>
      <c r="L168" s="269"/>
      <c r="M168" s="269"/>
      <c r="N168" s="269"/>
      <c r="O168" s="269"/>
    </row>
    <row r="169" spans="2:15" ht="9.75" customHeight="1" x14ac:dyDescent="0.2">
      <c r="B169" s="269"/>
      <c r="C169" s="269"/>
      <c r="E169" s="269"/>
      <c r="H169" s="269"/>
      <c r="J169" s="269"/>
      <c r="K169" s="269"/>
      <c r="L169" s="269"/>
      <c r="M169" s="269"/>
      <c r="N169" s="269"/>
      <c r="O169" s="269"/>
    </row>
    <row r="170" spans="2:15" ht="9.75" customHeight="1" x14ac:dyDescent="0.2">
      <c r="B170" s="269"/>
      <c r="C170" s="269"/>
      <c r="E170" s="269"/>
      <c r="H170" s="269"/>
      <c r="J170" s="269"/>
      <c r="K170" s="269"/>
      <c r="L170" s="269"/>
      <c r="M170" s="269"/>
      <c r="N170" s="269"/>
      <c r="O170" s="269"/>
    </row>
    <row r="171" spans="2:15" ht="9.75" customHeight="1" x14ac:dyDescent="0.2">
      <c r="B171" s="269"/>
      <c r="C171" s="269"/>
      <c r="E171" s="269"/>
      <c r="H171" s="269"/>
      <c r="J171" s="269"/>
      <c r="K171" s="269"/>
      <c r="L171" s="269"/>
      <c r="M171" s="269"/>
      <c r="N171" s="269"/>
      <c r="O171" s="269"/>
    </row>
    <row r="172" spans="2:15" ht="9.75" customHeight="1" x14ac:dyDescent="0.2">
      <c r="B172" s="269"/>
      <c r="C172" s="269"/>
      <c r="E172" s="269"/>
      <c r="H172" s="269"/>
      <c r="J172" s="269"/>
      <c r="K172" s="269"/>
      <c r="L172" s="269"/>
      <c r="M172" s="269"/>
      <c r="N172" s="269"/>
      <c r="O172" s="269"/>
    </row>
    <row r="173" spans="2:15" ht="9.75" customHeight="1" x14ac:dyDescent="0.2">
      <c r="B173" s="269"/>
      <c r="C173" s="269"/>
      <c r="E173" s="269"/>
      <c r="H173" s="269"/>
      <c r="J173" s="269"/>
      <c r="K173" s="269"/>
      <c r="L173" s="269"/>
      <c r="M173" s="269"/>
      <c r="N173" s="269"/>
      <c r="O173" s="269"/>
    </row>
    <row r="174" spans="2:15" ht="9.75" customHeight="1" x14ac:dyDescent="0.2">
      <c r="B174" s="269"/>
      <c r="C174" s="269"/>
      <c r="E174" s="269"/>
      <c r="H174" s="269"/>
      <c r="J174" s="269"/>
      <c r="K174" s="269"/>
      <c r="L174" s="269"/>
      <c r="M174" s="269"/>
      <c r="N174" s="269"/>
      <c r="O174" s="269"/>
    </row>
    <row r="175" spans="2:15" ht="9.75" customHeight="1" x14ac:dyDescent="0.2">
      <c r="B175" s="269"/>
      <c r="C175" s="269"/>
      <c r="E175" s="269"/>
      <c r="H175" s="269"/>
      <c r="J175" s="269"/>
      <c r="K175" s="269"/>
      <c r="L175" s="269"/>
      <c r="M175" s="269"/>
      <c r="N175" s="269"/>
      <c r="O175" s="269"/>
    </row>
    <row r="176" spans="2:15" ht="9.75" customHeight="1" x14ac:dyDescent="0.2">
      <c r="B176" s="269"/>
      <c r="C176" s="269"/>
      <c r="E176" s="269"/>
      <c r="H176" s="269"/>
      <c r="J176" s="269"/>
      <c r="K176" s="269"/>
      <c r="L176" s="269"/>
      <c r="M176" s="269"/>
      <c r="N176" s="269"/>
      <c r="O176" s="269"/>
    </row>
    <row r="177" spans="2:15" ht="9.75" customHeight="1" x14ac:dyDescent="0.2">
      <c r="B177" s="269"/>
      <c r="C177" s="269"/>
      <c r="E177" s="269"/>
      <c r="H177" s="269"/>
      <c r="J177" s="269"/>
      <c r="K177" s="269"/>
      <c r="L177" s="269"/>
      <c r="M177" s="269"/>
      <c r="N177" s="269"/>
      <c r="O177" s="269"/>
    </row>
    <row r="178" spans="2:15" ht="9.75" customHeight="1" x14ac:dyDescent="0.2">
      <c r="B178" s="269"/>
      <c r="C178" s="269"/>
      <c r="E178" s="269"/>
      <c r="H178" s="269"/>
      <c r="J178" s="269"/>
      <c r="K178" s="269"/>
      <c r="L178" s="269"/>
      <c r="M178" s="269"/>
      <c r="N178" s="269"/>
      <c r="O178" s="269"/>
    </row>
    <row r="179" spans="2:15" ht="9.75" customHeight="1" x14ac:dyDescent="0.2">
      <c r="B179" s="269"/>
      <c r="C179" s="269"/>
      <c r="E179" s="269"/>
      <c r="H179" s="269"/>
      <c r="J179" s="269"/>
      <c r="K179" s="269"/>
      <c r="L179" s="269"/>
      <c r="M179" s="269"/>
      <c r="N179" s="269"/>
      <c r="O179" s="269"/>
    </row>
    <row r="180" spans="2:15" ht="9.75" customHeight="1" x14ac:dyDescent="0.2">
      <c r="B180" s="269"/>
      <c r="C180" s="269"/>
      <c r="E180" s="269"/>
      <c r="H180" s="269"/>
      <c r="J180" s="269"/>
      <c r="K180" s="269"/>
      <c r="L180" s="269"/>
      <c r="M180" s="269"/>
      <c r="N180" s="269"/>
      <c r="O180" s="269"/>
    </row>
    <row r="181" spans="2:15" ht="9.75" customHeight="1" x14ac:dyDescent="0.2">
      <c r="B181" s="269"/>
      <c r="C181" s="269"/>
      <c r="E181" s="269"/>
      <c r="H181" s="269"/>
      <c r="J181" s="269"/>
      <c r="K181" s="269"/>
      <c r="L181" s="269"/>
      <c r="M181" s="269"/>
      <c r="N181" s="269"/>
      <c r="O181" s="269"/>
    </row>
    <row r="182" spans="2:15" ht="9.75" customHeight="1" x14ac:dyDescent="0.2">
      <c r="B182" s="269"/>
      <c r="C182" s="269"/>
      <c r="E182" s="269"/>
      <c r="H182" s="269"/>
      <c r="J182" s="269"/>
      <c r="K182" s="269"/>
      <c r="L182" s="269"/>
      <c r="M182" s="269"/>
      <c r="N182" s="269"/>
      <c r="O182" s="269"/>
    </row>
    <row r="183" spans="2:15" ht="9.75" customHeight="1" x14ac:dyDescent="0.2">
      <c r="B183" s="269"/>
      <c r="C183" s="269"/>
      <c r="E183" s="269"/>
      <c r="H183" s="269"/>
      <c r="J183" s="269"/>
      <c r="K183" s="269"/>
      <c r="L183" s="269"/>
      <c r="M183" s="269"/>
      <c r="N183" s="269"/>
      <c r="O183" s="269"/>
    </row>
    <row r="184" spans="2:15" ht="9.75" customHeight="1" x14ac:dyDescent="0.2">
      <c r="B184" s="269"/>
      <c r="C184" s="269"/>
      <c r="E184" s="269"/>
      <c r="H184" s="269"/>
      <c r="J184" s="269"/>
      <c r="K184" s="269"/>
      <c r="L184" s="269"/>
      <c r="M184" s="269"/>
      <c r="N184" s="269"/>
      <c r="O184" s="269"/>
    </row>
    <row r="185" spans="2:15" ht="9.75" customHeight="1" x14ac:dyDescent="0.2">
      <c r="B185" s="269"/>
      <c r="C185" s="269"/>
      <c r="E185" s="269"/>
      <c r="H185" s="269"/>
      <c r="J185" s="269"/>
      <c r="K185" s="269"/>
      <c r="L185" s="269"/>
      <c r="M185" s="269"/>
      <c r="N185" s="269"/>
      <c r="O185" s="269"/>
    </row>
    <row r="186" spans="2:15" ht="9.75" customHeight="1" x14ac:dyDescent="0.2">
      <c r="B186" s="269"/>
      <c r="C186" s="269"/>
      <c r="E186" s="269"/>
      <c r="H186" s="269"/>
      <c r="J186" s="269"/>
      <c r="K186" s="269"/>
      <c r="L186" s="269"/>
      <c r="M186" s="269"/>
      <c r="N186" s="269"/>
      <c r="O186" s="269"/>
    </row>
    <row r="187" spans="2:15" ht="9.75" customHeight="1" x14ac:dyDescent="0.2">
      <c r="B187" s="269"/>
      <c r="C187" s="269"/>
      <c r="E187" s="269"/>
      <c r="H187" s="269"/>
      <c r="J187" s="269"/>
      <c r="K187" s="269"/>
      <c r="L187" s="269"/>
      <c r="M187" s="269"/>
      <c r="N187" s="269"/>
      <c r="O187" s="269"/>
    </row>
    <row r="188" spans="2:15" ht="9.75" customHeight="1" x14ac:dyDescent="0.2">
      <c r="B188" s="269"/>
      <c r="C188" s="269"/>
      <c r="E188" s="269"/>
      <c r="H188" s="269"/>
      <c r="J188" s="269"/>
      <c r="K188" s="269"/>
      <c r="L188" s="269"/>
      <c r="M188" s="269"/>
      <c r="N188" s="269"/>
      <c r="O188" s="269"/>
    </row>
    <row r="189" spans="2:15" ht="9.75" customHeight="1" x14ac:dyDescent="0.2">
      <c r="B189" s="269"/>
      <c r="C189" s="269"/>
      <c r="E189" s="269"/>
      <c r="H189" s="269"/>
      <c r="J189" s="269"/>
      <c r="K189" s="269"/>
      <c r="L189" s="269"/>
      <c r="M189" s="269"/>
      <c r="N189" s="269"/>
      <c r="O189" s="269"/>
    </row>
    <row r="190" spans="2:15" ht="9.75" customHeight="1" x14ac:dyDescent="0.2">
      <c r="B190" s="269"/>
      <c r="C190" s="269"/>
      <c r="E190" s="269"/>
      <c r="H190" s="269"/>
      <c r="J190" s="269"/>
      <c r="K190" s="269"/>
      <c r="L190" s="269"/>
      <c r="M190" s="269"/>
      <c r="N190" s="269"/>
      <c r="O190" s="269"/>
    </row>
    <row r="191" spans="2:15" ht="9.75" customHeight="1" x14ac:dyDescent="0.2">
      <c r="B191" s="269"/>
      <c r="C191" s="269"/>
      <c r="E191" s="269"/>
      <c r="H191" s="269"/>
      <c r="J191" s="269"/>
      <c r="K191" s="269"/>
      <c r="L191" s="269"/>
      <c r="M191" s="269"/>
      <c r="N191" s="269"/>
      <c r="O191" s="269"/>
    </row>
    <row r="192" spans="2:15" ht="9.75" customHeight="1" x14ac:dyDescent="0.2">
      <c r="B192" s="269"/>
      <c r="C192" s="269"/>
      <c r="E192" s="269"/>
      <c r="H192" s="269"/>
      <c r="J192" s="269"/>
      <c r="K192" s="269"/>
      <c r="L192" s="269"/>
      <c r="M192" s="269"/>
      <c r="N192" s="269"/>
      <c r="O192" s="269"/>
    </row>
    <row r="193" spans="2:15" ht="9.75" customHeight="1" x14ac:dyDescent="0.2">
      <c r="B193" s="269"/>
      <c r="C193" s="269"/>
      <c r="E193" s="269"/>
      <c r="H193" s="269"/>
      <c r="J193" s="269"/>
      <c r="K193" s="269"/>
      <c r="L193" s="269"/>
      <c r="M193" s="269"/>
      <c r="N193" s="269"/>
      <c r="O193" s="269"/>
    </row>
    <row r="194" spans="2:15" ht="9.75" customHeight="1" x14ac:dyDescent="0.2">
      <c r="B194" s="269"/>
      <c r="C194" s="269"/>
      <c r="E194" s="269"/>
      <c r="H194" s="269"/>
      <c r="J194" s="269"/>
      <c r="K194" s="269"/>
      <c r="L194" s="269"/>
      <c r="M194" s="269"/>
      <c r="N194" s="269"/>
      <c r="O194" s="269"/>
    </row>
    <row r="195" spans="2:15" ht="9.75" customHeight="1" x14ac:dyDescent="0.2">
      <c r="B195" s="269"/>
      <c r="C195" s="269"/>
      <c r="E195" s="269"/>
      <c r="H195" s="269"/>
      <c r="J195" s="269"/>
      <c r="K195" s="269"/>
      <c r="L195" s="269"/>
      <c r="M195" s="269"/>
      <c r="N195" s="269"/>
      <c r="O195" s="269"/>
    </row>
    <row r="196" spans="2:15" ht="9.75" customHeight="1" x14ac:dyDescent="0.2">
      <c r="B196" s="269"/>
      <c r="C196" s="269"/>
      <c r="E196" s="269"/>
      <c r="H196" s="269"/>
      <c r="J196" s="269"/>
      <c r="K196" s="269"/>
      <c r="L196" s="269"/>
      <c r="M196" s="269"/>
      <c r="N196" s="269"/>
      <c r="O196" s="269"/>
    </row>
    <row r="197" spans="2:15" ht="9.75" customHeight="1" x14ac:dyDescent="0.2">
      <c r="B197" s="269"/>
      <c r="C197" s="269"/>
      <c r="E197" s="269"/>
      <c r="H197" s="269"/>
      <c r="J197" s="269"/>
      <c r="K197" s="269"/>
      <c r="L197" s="269"/>
      <c r="M197" s="269"/>
      <c r="N197" s="269"/>
      <c r="O197" s="269"/>
    </row>
    <row r="198" spans="2:15" ht="9.75" customHeight="1" x14ac:dyDescent="0.2">
      <c r="B198" s="269"/>
      <c r="C198" s="269"/>
      <c r="E198" s="269"/>
      <c r="H198" s="269"/>
      <c r="J198" s="269"/>
      <c r="K198" s="269"/>
      <c r="L198" s="269"/>
      <c r="M198" s="269"/>
      <c r="N198" s="269"/>
      <c r="O198" s="269"/>
    </row>
    <row r="199" spans="2:15" ht="9.75" customHeight="1" x14ac:dyDescent="0.2">
      <c r="B199" s="269"/>
      <c r="C199" s="269"/>
      <c r="E199" s="269"/>
      <c r="H199" s="269"/>
      <c r="J199" s="269"/>
      <c r="K199" s="269"/>
      <c r="L199" s="269"/>
      <c r="M199" s="269"/>
      <c r="N199" s="269"/>
      <c r="O199" s="269"/>
    </row>
    <row r="200" spans="2:15" ht="9.75" customHeight="1" x14ac:dyDescent="0.2">
      <c r="B200" s="269"/>
      <c r="C200" s="269"/>
      <c r="E200" s="269"/>
      <c r="H200" s="269"/>
      <c r="J200" s="269"/>
      <c r="K200" s="269"/>
      <c r="L200" s="269"/>
      <c r="M200" s="269"/>
      <c r="N200" s="269"/>
      <c r="O200" s="269"/>
    </row>
    <row r="201" spans="2:15" ht="9.75" customHeight="1" x14ac:dyDescent="0.2">
      <c r="B201" s="269"/>
      <c r="C201" s="269"/>
      <c r="E201" s="269"/>
      <c r="H201" s="269"/>
      <c r="J201" s="269"/>
      <c r="K201" s="269"/>
      <c r="L201" s="269"/>
      <c r="M201" s="269"/>
      <c r="N201" s="269"/>
      <c r="O201" s="269"/>
    </row>
    <row r="202" spans="2:15" ht="9.75" customHeight="1" x14ac:dyDescent="0.2">
      <c r="B202" s="269"/>
      <c r="C202" s="269"/>
      <c r="E202" s="269"/>
      <c r="H202" s="269"/>
      <c r="J202" s="269"/>
      <c r="K202" s="269"/>
      <c r="L202" s="269"/>
      <c r="M202" s="269"/>
      <c r="N202" s="269"/>
      <c r="O202" s="269"/>
    </row>
    <row r="203" spans="2:15" ht="9.75" customHeight="1" x14ac:dyDescent="0.2">
      <c r="B203" s="269"/>
      <c r="C203" s="269"/>
      <c r="E203" s="269"/>
      <c r="H203" s="269"/>
      <c r="J203" s="269"/>
      <c r="K203" s="269"/>
      <c r="L203" s="269"/>
      <c r="M203" s="269"/>
      <c r="N203" s="269"/>
      <c r="O203" s="269"/>
    </row>
    <row r="204" spans="2:15" ht="9.75" customHeight="1" x14ac:dyDescent="0.2">
      <c r="B204" s="269"/>
      <c r="C204" s="269"/>
      <c r="E204" s="269"/>
      <c r="H204" s="269"/>
      <c r="J204" s="269"/>
      <c r="K204" s="269"/>
      <c r="L204" s="269"/>
      <c r="M204" s="269"/>
      <c r="N204" s="269"/>
      <c r="O204" s="269"/>
    </row>
    <row r="205" spans="2:15" ht="9.75" customHeight="1" x14ac:dyDescent="0.2">
      <c r="B205" s="269"/>
      <c r="C205" s="269"/>
      <c r="E205" s="269"/>
      <c r="H205" s="269"/>
      <c r="J205" s="269"/>
      <c r="K205" s="269"/>
      <c r="L205" s="269"/>
      <c r="M205" s="269"/>
      <c r="N205" s="269"/>
      <c r="O205" s="269"/>
    </row>
    <row r="206" spans="2:15" ht="9.75" customHeight="1" x14ac:dyDescent="0.2">
      <c r="B206" s="269"/>
      <c r="C206" s="269"/>
      <c r="E206" s="269"/>
      <c r="H206" s="269"/>
      <c r="J206" s="269"/>
      <c r="K206" s="269"/>
      <c r="L206" s="269"/>
      <c r="M206" s="269"/>
      <c r="N206" s="269"/>
      <c r="O206" s="269"/>
    </row>
    <row r="207" spans="2:15" ht="9.75" customHeight="1" x14ac:dyDescent="0.2">
      <c r="B207" s="269"/>
      <c r="C207" s="269"/>
      <c r="E207" s="269"/>
      <c r="H207" s="269"/>
      <c r="J207" s="269"/>
      <c r="K207" s="269"/>
      <c r="L207" s="269"/>
      <c r="M207" s="269"/>
      <c r="N207" s="269"/>
      <c r="O207" s="269"/>
    </row>
    <row r="208" spans="2:15" ht="9.75" customHeight="1" x14ac:dyDescent="0.2">
      <c r="B208" s="269"/>
      <c r="C208" s="269"/>
      <c r="E208" s="269"/>
      <c r="H208" s="269"/>
      <c r="J208" s="269"/>
      <c r="K208" s="269"/>
      <c r="L208" s="269"/>
      <c r="M208" s="269"/>
      <c r="N208" s="269"/>
      <c r="O208" s="269"/>
    </row>
    <row r="209" spans="2:15" ht="9.75" customHeight="1" x14ac:dyDescent="0.2">
      <c r="B209" s="269"/>
      <c r="C209" s="269"/>
      <c r="E209" s="269"/>
      <c r="H209" s="269"/>
      <c r="J209" s="269"/>
      <c r="K209" s="269"/>
      <c r="L209" s="269"/>
      <c r="M209" s="269"/>
      <c r="N209" s="269"/>
      <c r="O209" s="269"/>
    </row>
    <row r="210" spans="2:15" ht="9.75" customHeight="1" x14ac:dyDescent="0.2">
      <c r="B210" s="269"/>
      <c r="C210" s="269"/>
      <c r="E210" s="269"/>
      <c r="H210" s="269"/>
      <c r="J210" s="269"/>
      <c r="K210" s="269"/>
      <c r="L210" s="269"/>
      <c r="M210" s="269"/>
      <c r="N210" s="269"/>
      <c r="O210" s="269"/>
    </row>
    <row r="211" spans="2:15" ht="9.75" customHeight="1" x14ac:dyDescent="0.2">
      <c r="B211" s="269"/>
      <c r="C211" s="269"/>
      <c r="E211" s="269"/>
      <c r="H211" s="269"/>
      <c r="J211" s="269"/>
      <c r="K211" s="269"/>
      <c r="L211" s="269"/>
      <c r="M211" s="269"/>
      <c r="N211" s="269"/>
      <c r="O211" s="269"/>
    </row>
    <row r="212" spans="2:15" ht="9.75" customHeight="1" x14ac:dyDescent="0.2">
      <c r="B212" s="269"/>
      <c r="C212" s="269"/>
      <c r="E212" s="269"/>
      <c r="H212" s="269"/>
      <c r="J212" s="269"/>
      <c r="K212" s="269"/>
      <c r="L212" s="269"/>
      <c r="M212" s="269"/>
      <c r="N212" s="269"/>
      <c r="O212" s="269"/>
    </row>
    <row r="213" spans="2:15" ht="9.75" customHeight="1" x14ac:dyDescent="0.2">
      <c r="B213" s="269"/>
      <c r="C213" s="269"/>
      <c r="E213" s="269"/>
      <c r="H213" s="269"/>
      <c r="J213" s="269"/>
      <c r="K213" s="269"/>
      <c r="L213" s="269"/>
      <c r="M213" s="269"/>
      <c r="N213" s="269"/>
      <c r="O213" s="269"/>
    </row>
    <row r="214" spans="2:15" ht="9.75" customHeight="1" x14ac:dyDescent="0.2">
      <c r="B214" s="269"/>
      <c r="C214" s="269"/>
      <c r="E214" s="269"/>
      <c r="H214" s="269"/>
      <c r="J214" s="269"/>
      <c r="K214" s="269"/>
      <c r="L214" s="269"/>
      <c r="M214" s="269"/>
      <c r="N214" s="269"/>
      <c r="O214" s="269"/>
    </row>
    <row r="215" spans="2:15" ht="9.75" customHeight="1" x14ac:dyDescent="0.2">
      <c r="B215" s="269"/>
      <c r="C215" s="269"/>
      <c r="E215" s="269"/>
      <c r="H215" s="269"/>
      <c r="J215" s="269"/>
      <c r="K215" s="269"/>
      <c r="L215" s="269"/>
      <c r="M215" s="269"/>
      <c r="N215" s="269"/>
      <c r="O215" s="269"/>
    </row>
    <row r="216" spans="2:15" ht="9.75" customHeight="1" x14ac:dyDescent="0.2">
      <c r="B216" s="269"/>
      <c r="C216" s="269"/>
      <c r="E216" s="269"/>
      <c r="H216" s="269"/>
      <c r="J216" s="269"/>
      <c r="K216" s="269"/>
      <c r="L216" s="269"/>
      <c r="M216" s="269"/>
      <c r="N216" s="269"/>
      <c r="O216" s="269"/>
    </row>
    <row r="217" spans="2:15" ht="9.75" customHeight="1" x14ac:dyDescent="0.2">
      <c r="B217" s="269"/>
      <c r="C217" s="269"/>
      <c r="E217" s="269"/>
      <c r="H217" s="269"/>
      <c r="J217" s="269"/>
      <c r="K217" s="269"/>
      <c r="L217" s="269"/>
      <c r="M217" s="269"/>
      <c r="N217" s="269"/>
      <c r="O217" s="269"/>
    </row>
    <row r="218" spans="2:15" ht="9.75" customHeight="1" x14ac:dyDescent="0.2">
      <c r="B218" s="269"/>
      <c r="C218" s="269"/>
      <c r="E218" s="269"/>
      <c r="H218" s="269"/>
      <c r="J218" s="269"/>
      <c r="K218" s="269"/>
      <c r="L218" s="269"/>
      <c r="M218" s="269"/>
      <c r="N218" s="269"/>
      <c r="O218" s="269"/>
    </row>
    <row r="219" spans="2:15" ht="9.75" customHeight="1" x14ac:dyDescent="0.2">
      <c r="B219" s="269"/>
      <c r="C219" s="269"/>
      <c r="E219" s="269"/>
      <c r="H219" s="269"/>
      <c r="J219" s="269"/>
      <c r="K219" s="269"/>
      <c r="L219" s="269"/>
      <c r="M219" s="269"/>
      <c r="N219" s="269"/>
      <c r="O219" s="269"/>
    </row>
    <row r="220" spans="2:15" ht="9.75" customHeight="1" x14ac:dyDescent="0.2">
      <c r="B220" s="269"/>
      <c r="C220" s="269"/>
      <c r="E220" s="269"/>
      <c r="H220" s="269"/>
      <c r="J220" s="269"/>
      <c r="K220" s="269"/>
      <c r="L220" s="269"/>
      <c r="M220" s="269"/>
      <c r="N220" s="269"/>
      <c r="O220" s="269"/>
    </row>
    <row r="221" spans="2:15" ht="9.75" customHeight="1" x14ac:dyDescent="0.2">
      <c r="B221" s="269"/>
      <c r="C221" s="269"/>
      <c r="E221" s="269"/>
      <c r="H221" s="269"/>
      <c r="J221" s="269"/>
      <c r="K221" s="269"/>
      <c r="L221" s="269"/>
      <c r="M221" s="269"/>
      <c r="N221" s="269"/>
      <c r="O221" s="269"/>
    </row>
    <row r="222" spans="2:15" ht="9.75" customHeight="1" x14ac:dyDescent="0.2">
      <c r="B222" s="269"/>
      <c r="C222" s="269"/>
      <c r="E222" s="269"/>
      <c r="H222" s="269"/>
      <c r="J222" s="269"/>
      <c r="K222" s="269"/>
      <c r="L222" s="269"/>
      <c r="M222" s="269"/>
      <c r="N222" s="269"/>
      <c r="O222" s="269"/>
    </row>
    <row r="223" spans="2:15" ht="9.75" customHeight="1" x14ac:dyDescent="0.2">
      <c r="B223" s="269"/>
      <c r="C223" s="269"/>
      <c r="E223" s="269"/>
      <c r="H223" s="269"/>
      <c r="J223" s="269"/>
      <c r="K223" s="269"/>
      <c r="L223" s="269"/>
      <c r="M223" s="269"/>
      <c r="N223" s="269"/>
      <c r="O223" s="269"/>
    </row>
    <row r="224" spans="2:15" ht="9.75" customHeight="1" x14ac:dyDescent="0.2">
      <c r="B224" s="269"/>
      <c r="C224" s="269"/>
      <c r="E224" s="269"/>
      <c r="H224" s="269"/>
      <c r="J224" s="269"/>
      <c r="K224" s="269"/>
      <c r="L224" s="269"/>
      <c r="M224" s="269"/>
      <c r="N224" s="269"/>
      <c r="O224" s="269"/>
    </row>
    <row r="225" spans="2:15" ht="9.75" customHeight="1" x14ac:dyDescent="0.2">
      <c r="B225" s="269"/>
      <c r="C225" s="269"/>
      <c r="E225" s="269"/>
      <c r="H225" s="269"/>
      <c r="J225" s="269"/>
      <c r="K225" s="269"/>
      <c r="L225" s="269"/>
      <c r="M225" s="269"/>
      <c r="N225" s="269"/>
      <c r="O225" s="269"/>
    </row>
    <row r="226" spans="2:15" ht="9.75" customHeight="1" x14ac:dyDescent="0.2">
      <c r="B226" s="269"/>
      <c r="C226" s="269"/>
      <c r="E226" s="269"/>
      <c r="H226" s="269"/>
      <c r="J226" s="269"/>
      <c r="K226" s="269"/>
      <c r="L226" s="269"/>
      <c r="M226" s="269"/>
      <c r="N226" s="269"/>
      <c r="O226" s="269"/>
    </row>
    <row r="227" spans="2:15" ht="9.75" customHeight="1" x14ac:dyDescent="0.2">
      <c r="B227" s="269"/>
      <c r="C227" s="269"/>
      <c r="E227" s="269"/>
      <c r="H227" s="269"/>
      <c r="J227" s="269"/>
      <c r="K227" s="269"/>
      <c r="L227" s="269"/>
      <c r="M227" s="269"/>
      <c r="N227" s="269"/>
      <c r="O227" s="269"/>
    </row>
    <row r="228" spans="2:15" ht="9.75" customHeight="1" x14ac:dyDescent="0.2">
      <c r="B228" s="269"/>
      <c r="C228" s="269"/>
      <c r="E228" s="269"/>
      <c r="H228" s="269"/>
      <c r="J228" s="269"/>
      <c r="K228" s="269"/>
      <c r="L228" s="269"/>
      <c r="M228" s="269"/>
      <c r="N228" s="269"/>
      <c r="O228" s="269"/>
    </row>
    <row r="229" spans="2:15" ht="9.75" customHeight="1" x14ac:dyDescent="0.2">
      <c r="B229" s="269"/>
      <c r="C229" s="269"/>
      <c r="E229" s="269"/>
      <c r="H229" s="269"/>
      <c r="J229" s="269"/>
      <c r="K229" s="269"/>
      <c r="L229" s="269"/>
      <c r="M229" s="269"/>
      <c r="N229" s="269"/>
      <c r="O229" s="269"/>
    </row>
    <row r="230" spans="2:15" ht="9.75" customHeight="1" x14ac:dyDescent="0.2">
      <c r="B230" s="269"/>
      <c r="C230" s="269"/>
      <c r="E230" s="269"/>
      <c r="H230" s="269"/>
      <c r="J230" s="269"/>
      <c r="K230" s="269"/>
      <c r="L230" s="269"/>
      <c r="M230" s="269"/>
      <c r="N230" s="269"/>
      <c r="O230" s="269"/>
    </row>
    <row r="231" spans="2:15" ht="9.75" customHeight="1" x14ac:dyDescent="0.2">
      <c r="B231" s="269"/>
      <c r="C231" s="269"/>
      <c r="E231" s="269"/>
      <c r="H231" s="269"/>
      <c r="J231" s="269"/>
      <c r="K231" s="269"/>
      <c r="L231" s="269"/>
      <c r="M231" s="269"/>
      <c r="N231" s="269"/>
      <c r="O231" s="269"/>
    </row>
    <row r="232" spans="2:15" ht="9.75" customHeight="1" x14ac:dyDescent="0.2">
      <c r="B232" s="269"/>
      <c r="C232" s="269"/>
      <c r="E232" s="269"/>
      <c r="H232" s="269"/>
      <c r="J232" s="269"/>
      <c r="K232" s="269"/>
      <c r="L232" s="269"/>
      <c r="M232" s="269"/>
      <c r="N232" s="269"/>
      <c r="O232" s="269"/>
    </row>
    <row r="233" spans="2:15" ht="9.75" customHeight="1" x14ac:dyDescent="0.2">
      <c r="B233" s="269"/>
      <c r="C233" s="269"/>
      <c r="E233" s="269"/>
      <c r="H233" s="269"/>
      <c r="J233" s="269"/>
      <c r="K233" s="269"/>
      <c r="L233" s="269"/>
      <c r="M233" s="269"/>
      <c r="N233" s="269"/>
      <c r="O233" s="269"/>
    </row>
    <row r="234" spans="2:15" ht="9.75" customHeight="1" x14ac:dyDescent="0.2">
      <c r="B234" s="269"/>
      <c r="C234" s="269"/>
      <c r="E234" s="269"/>
      <c r="H234" s="269"/>
      <c r="J234" s="269"/>
      <c r="K234" s="269"/>
      <c r="L234" s="269"/>
      <c r="M234" s="269"/>
      <c r="N234" s="269"/>
      <c r="O234" s="269"/>
    </row>
    <row r="235" spans="2:15" ht="9.75" customHeight="1" x14ac:dyDescent="0.2">
      <c r="B235" s="269"/>
      <c r="C235" s="269"/>
      <c r="E235" s="269"/>
      <c r="H235" s="269"/>
      <c r="J235" s="269"/>
      <c r="K235" s="269"/>
      <c r="L235" s="269"/>
      <c r="M235" s="269"/>
      <c r="N235" s="269"/>
      <c r="O235" s="269"/>
    </row>
    <row r="236" spans="2:15" ht="9.75" customHeight="1" x14ac:dyDescent="0.2">
      <c r="B236" s="269"/>
      <c r="C236" s="269"/>
      <c r="E236" s="269"/>
      <c r="H236" s="269"/>
      <c r="J236" s="269"/>
      <c r="K236" s="269"/>
      <c r="L236" s="269"/>
      <c r="M236" s="269"/>
      <c r="N236" s="269"/>
      <c r="O236" s="269"/>
    </row>
    <row r="237" spans="2:15" ht="9.75" customHeight="1" x14ac:dyDescent="0.2">
      <c r="B237" s="269"/>
      <c r="C237" s="269"/>
      <c r="E237" s="269"/>
      <c r="H237" s="269"/>
      <c r="J237" s="269"/>
      <c r="K237" s="269"/>
      <c r="L237" s="269"/>
      <c r="M237" s="269"/>
      <c r="N237" s="269"/>
      <c r="O237" s="269"/>
    </row>
    <row r="238" spans="2:15" ht="9.75" customHeight="1" x14ac:dyDescent="0.2">
      <c r="B238" s="269"/>
      <c r="C238" s="269"/>
      <c r="E238" s="269"/>
      <c r="H238" s="269"/>
      <c r="J238" s="269"/>
      <c r="K238" s="269"/>
      <c r="L238" s="269"/>
      <c r="M238" s="269"/>
      <c r="N238" s="269"/>
      <c r="O238" s="269"/>
    </row>
    <row r="239" spans="2:15" ht="9.75" customHeight="1" x14ac:dyDescent="0.2">
      <c r="B239" s="269"/>
      <c r="C239" s="269"/>
      <c r="E239" s="269"/>
      <c r="H239" s="269"/>
      <c r="J239" s="269"/>
      <c r="K239" s="269"/>
      <c r="L239" s="269"/>
      <c r="M239" s="269"/>
      <c r="N239" s="269"/>
      <c r="O239" s="269"/>
    </row>
    <row r="240" spans="2:15" ht="9.75" customHeight="1" x14ac:dyDescent="0.2">
      <c r="B240" s="269"/>
      <c r="C240" s="269"/>
      <c r="E240" s="269"/>
      <c r="H240" s="269"/>
      <c r="J240" s="269"/>
      <c r="K240" s="269"/>
      <c r="L240" s="269"/>
      <c r="M240" s="269"/>
      <c r="N240" s="269"/>
      <c r="O240" s="269"/>
    </row>
    <row r="241" spans="2:15" ht="9.75" customHeight="1" x14ac:dyDescent="0.2">
      <c r="B241" s="269"/>
      <c r="C241" s="269"/>
      <c r="E241" s="269"/>
      <c r="H241" s="269"/>
      <c r="J241" s="269"/>
      <c r="K241" s="269"/>
      <c r="L241" s="269"/>
      <c r="M241" s="269"/>
      <c r="N241" s="269"/>
      <c r="O241" s="269"/>
    </row>
    <row r="242" spans="2:15" ht="9.75" customHeight="1" x14ac:dyDescent="0.2">
      <c r="B242" s="269"/>
      <c r="C242" s="269"/>
      <c r="E242" s="269"/>
      <c r="H242" s="269"/>
      <c r="J242" s="269"/>
      <c r="K242" s="269"/>
      <c r="L242" s="269"/>
      <c r="M242" s="269"/>
      <c r="N242" s="269"/>
      <c r="O242" s="269"/>
    </row>
    <row r="243" spans="2:15" ht="9.75" customHeight="1" x14ac:dyDescent="0.2">
      <c r="B243" s="269"/>
      <c r="C243" s="269"/>
      <c r="E243" s="269"/>
      <c r="H243" s="269"/>
      <c r="J243" s="269"/>
      <c r="K243" s="269"/>
      <c r="L243" s="269"/>
      <c r="M243" s="269"/>
      <c r="N243" s="269"/>
      <c r="O243" s="269"/>
    </row>
    <row r="244" spans="2:15" ht="9.75" customHeight="1" x14ac:dyDescent="0.2">
      <c r="B244" s="269"/>
      <c r="C244" s="269"/>
      <c r="E244" s="269"/>
      <c r="H244" s="269"/>
      <c r="J244" s="269"/>
      <c r="K244" s="269"/>
      <c r="L244" s="269"/>
      <c r="M244" s="269"/>
      <c r="N244" s="269"/>
      <c r="O244" s="269"/>
    </row>
    <row r="245" spans="2:15" ht="9.75" customHeight="1" x14ac:dyDescent="0.2">
      <c r="B245" s="269"/>
      <c r="C245" s="269"/>
      <c r="E245" s="269"/>
      <c r="H245" s="269"/>
      <c r="J245" s="269"/>
      <c r="K245" s="269"/>
      <c r="L245" s="269"/>
      <c r="M245" s="269"/>
      <c r="N245" s="269"/>
      <c r="O245" s="269"/>
    </row>
    <row r="246" spans="2:15" ht="9.75" customHeight="1" x14ac:dyDescent="0.2">
      <c r="B246" s="269"/>
      <c r="C246" s="269"/>
      <c r="E246" s="269"/>
      <c r="H246" s="269"/>
      <c r="J246" s="269"/>
      <c r="K246" s="269"/>
      <c r="L246" s="269"/>
      <c r="M246" s="269"/>
      <c r="N246" s="269"/>
      <c r="O246" s="269"/>
    </row>
    <row r="247" spans="2:15" ht="9.75" customHeight="1" x14ac:dyDescent="0.2">
      <c r="B247" s="269"/>
      <c r="C247" s="269"/>
      <c r="E247" s="269"/>
      <c r="H247" s="269"/>
      <c r="J247" s="269"/>
      <c r="K247" s="269"/>
      <c r="L247" s="269"/>
      <c r="M247" s="269"/>
      <c r="N247" s="269"/>
      <c r="O247" s="269"/>
    </row>
    <row r="248" spans="2:15" ht="9.75" customHeight="1" x14ac:dyDescent="0.2">
      <c r="B248" s="269"/>
      <c r="C248" s="269"/>
      <c r="E248" s="269"/>
      <c r="H248" s="269"/>
      <c r="J248" s="269"/>
      <c r="K248" s="269"/>
      <c r="L248" s="269"/>
      <c r="M248" s="269"/>
      <c r="N248" s="269"/>
      <c r="O248" s="269"/>
    </row>
    <row r="249" spans="2:15" ht="9.75" customHeight="1" x14ac:dyDescent="0.2">
      <c r="B249" s="269"/>
      <c r="C249" s="269"/>
      <c r="E249" s="269"/>
      <c r="H249" s="269"/>
      <c r="J249" s="269"/>
      <c r="K249" s="269"/>
      <c r="L249" s="269"/>
      <c r="M249" s="269"/>
      <c r="N249" s="269"/>
      <c r="O249" s="269"/>
    </row>
    <row r="250" spans="2:15" ht="9.75" customHeight="1" x14ac:dyDescent="0.2">
      <c r="B250" s="269"/>
      <c r="C250" s="269"/>
      <c r="E250" s="269"/>
      <c r="H250" s="269"/>
      <c r="J250" s="269"/>
      <c r="K250" s="269"/>
      <c r="L250" s="269"/>
      <c r="M250" s="269"/>
      <c r="N250" s="269"/>
      <c r="O250" s="269"/>
    </row>
    <row r="251" spans="2:15" ht="9.75" customHeight="1" x14ac:dyDescent="0.2">
      <c r="B251" s="269"/>
      <c r="C251" s="269"/>
      <c r="E251" s="269"/>
      <c r="H251" s="269"/>
      <c r="J251" s="269"/>
      <c r="K251" s="269"/>
      <c r="L251" s="269"/>
      <c r="M251" s="269"/>
      <c r="N251" s="269"/>
      <c r="O251" s="269"/>
    </row>
    <row r="252" spans="2:15" ht="9.75" customHeight="1" x14ac:dyDescent="0.2">
      <c r="B252" s="269"/>
      <c r="C252" s="269"/>
      <c r="E252" s="269"/>
      <c r="H252" s="269"/>
      <c r="J252" s="269"/>
      <c r="K252" s="269"/>
      <c r="L252" s="269"/>
      <c r="M252" s="269"/>
      <c r="N252" s="269"/>
      <c r="O252" s="269"/>
    </row>
    <row r="253" spans="2:15" ht="9.75" customHeight="1" x14ac:dyDescent="0.2">
      <c r="B253" s="269"/>
      <c r="C253" s="269"/>
      <c r="E253" s="269"/>
      <c r="H253" s="269"/>
      <c r="J253" s="269"/>
      <c r="K253" s="269"/>
      <c r="L253" s="269"/>
      <c r="M253" s="269"/>
      <c r="N253" s="269"/>
      <c r="O253" s="269"/>
    </row>
    <row r="254" spans="2:15" ht="9.75" customHeight="1" x14ac:dyDescent="0.2">
      <c r="B254" s="269"/>
      <c r="C254" s="269"/>
      <c r="E254" s="269"/>
      <c r="H254" s="269"/>
      <c r="J254" s="269"/>
      <c r="K254" s="269"/>
      <c r="L254" s="269"/>
      <c r="M254" s="269"/>
      <c r="N254" s="269"/>
      <c r="O254" s="269"/>
    </row>
    <row r="255" spans="2:15" ht="9.75" customHeight="1" x14ac:dyDescent="0.2">
      <c r="B255" s="269"/>
      <c r="C255" s="269"/>
      <c r="E255" s="269"/>
      <c r="H255" s="269"/>
      <c r="J255" s="269"/>
      <c r="K255" s="269"/>
      <c r="L255" s="269"/>
      <c r="M255" s="269"/>
      <c r="N255" s="269"/>
      <c r="O255" s="269"/>
    </row>
    <row r="256" spans="2:15" ht="9.75" customHeight="1" x14ac:dyDescent="0.2">
      <c r="B256" s="269"/>
      <c r="C256" s="269"/>
      <c r="E256" s="269"/>
      <c r="H256" s="269"/>
      <c r="J256" s="269"/>
      <c r="K256" s="269"/>
      <c r="L256" s="269"/>
      <c r="M256" s="269"/>
      <c r="N256" s="269"/>
      <c r="O256" s="269"/>
    </row>
    <row r="257" spans="2:15" ht="9.75" customHeight="1" x14ac:dyDescent="0.2">
      <c r="B257" s="269"/>
      <c r="C257" s="269"/>
      <c r="E257" s="269"/>
      <c r="H257" s="269"/>
      <c r="J257" s="269"/>
      <c r="K257" s="269"/>
      <c r="L257" s="269"/>
      <c r="M257" s="269"/>
      <c r="N257" s="269"/>
      <c r="O257" s="269"/>
    </row>
    <row r="258" spans="2:15" ht="9.75" customHeight="1" x14ac:dyDescent="0.2">
      <c r="B258" s="269"/>
      <c r="C258" s="269"/>
      <c r="E258" s="269"/>
      <c r="H258" s="269"/>
      <c r="J258" s="269"/>
      <c r="K258" s="269"/>
      <c r="L258" s="269"/>
      <c r="M258" s="269"/>
      <c r="N258" s="269"/>
      <c r="O258" s="269"/>
    </row>
    <row r="259" spans="2:15" ht="9.75" customHeight="1" x14ac:dyDescent="0.2">
      <c r="B259" s="269"/>
      <c r="C259" s="269"/>
      <c r="E259" s="269"/>
      <c r="H259" s="269"/>
      <c r="J259" s="269"/>
      <c r="K259" s="269"/>
      <c r="L259" s="269"/>
      <c r="M259" s="269"/>
      <c r="N259" s="269"/>
      <c r="O259" s="269"/>
    </row>
    <row r="260" spans="2:15" ht="9.75" customHeight="1" x14ac:dyDescent="0.2">
      <c r="B260" s="269"/>
      <c r="C260" s="269"/>
      <c r="E260" s="269"/>
      <c r="H260" s="269"/>
      <c r="J260" s="269"/>
      <c r="K260" s="269"/>
      <c r="L260" s="269"/>
      <c r="M260" s="269"/>
      <c r="N260" s="269"/>
      <c r="O260" s="269"/>
    </row>
    <row r="261" spans="2:15" ht="9.75" customHeight="1" x14ac:dyDescent="0.2">
      <c r="B261" s="269"/>
      <c r="C261" s="269"/>
      <c r="E261" s="269"/>
      <c r="H261" s="269"/>
      <c r="J261" s="269"/>
      <c r="K261" s="269"/>
      <c r="L261" s="269"/>
      <c r="M261" s="269"/>
      <c r="N261" s="269"/>
      <c r="O261" s="269"/>
    </row>
    <row r="262" spans="2:15" ht="9.75" customHeight="1" x14ac:dyDescent="0.2">
      <c r="B262" s="269"/>
      <c r="C262" s="269"/>
      <c r="E262" s="269"/>
      <c r="H262" s="269"/>
      <c r="J262" s="269"/>
      <c r="K262" s="269"/>
      <c r="L262" s="269"/>
      <c r="M262" s="269"/>
      <c r="N262" s="269"/>
      <c r="O262" s="269"/>
    </row>
    <row r="263" spans="2:15" ht="9.75" customHeight="1" x14ac:dyDescent="0.2">
      <c r="B263" s="269"/>
      <c r="C263" s="269"/>
      <c r="E263" s="269"/>
      <c r="H263" s="269"/>
      <c r="J263" s="269"/>
      <c r="K263" s="269"/>
      <c r="L263" s="269"/>
      <c r="M263" s="269"/>
      <c r="N263" s="269"/>
      <c r="O263" s="269"/>
    </row>
    <row r="264" spans="2:15" ht="9.75" customHeight="1" x14ac:dyDescent="0.2">
      <c r="B264" s="269"/>
      <c r="C264" s="269"/>
      <c r="E264" s="269"/>
      <c r="H264" s="269"/>
      <c r="J264" s="269"/>
      <c r="K264" s="269"/>
      <c r="L264" s="269"/>
      <c r="M264" s="269"/>
      <c r="N264" s="269"/>
      <c r="O264" s="269"/>
    </row>
    <row r="265" spans="2:15" ht="9.75" customHeight="1" x14ac:dyDescent="0.2">
      <c r="B265" s="269"/>
      <c r="C265" s="269"/>
      <c r="E265" s="269"/>
      <c r="H265" s="269"/>
      <c r="J265" s="269"/>
      <c r="K265" s="269"/>
      <c r="L265" s="269"/>
      <c r="M265" s="269"/>
      <c r="N265" s="269"/>
      <c r="O265" s="269"/>
    </row>
    <row r="266" spans="2:15" ht="9.75" customHeight="1" x14ac:dyDescent="0.2">
      <c r="B266" s="269"/>
      <c r="C266" s="269"/>
      <c r="E266" s="269"/>
      <c r="H266" s="269"/>
      <c r="J266" s="269"/>
      <c r="K266" s="269"/>
      <c r="L266" s="269"/>
      <c r="M266" s="269"/>
      <c r="N266" s="269"/>
      <c r="O266" s="269"/>
    </row>
    <row r="267" spans="2:15" ht="9.75" customHeight="1" x14ac:dyDescent="0.2">
      <c r="B267" s="269"/>
      <c r="C267" s="269"/>
      <c r="E267" s="269"/>
      <c r="H267" s="269"/>
      <c r="J267" s="269"/>
      <c r="K267" s="269"/>
      <c r="L267" s="269"/>
      <c r="M267" s="269"/>
      <c r="N267" s="269"/>
      <c r="O267" s="269"/>
    </row>
    <row r="268" spans="2:15" ht="9.75" customHeight="1" x14ac:dyDescent="0.2">
      <c r="B268" s="269"/>
      <c r="C268" s="269"/>
      <c r="E268" s="269"/>
      <c r="H268" s="269"/>
      <c r="J268" s="269"/>
      <c r="K268" s="269"/>
      <c r="L268" s="269"/>
      <c r="M268" s="269"/>
      <c r="N268" s="269"/>
      <c r="O268" s="269"/>
    </row>
    <row r="269" spans="2:15" ht="9.75" customHeight="1" x14ac:dyDescent="0.2">
      <c r="B269" s="269"/>
      <c r="C269" s="269"/>
      <c r="E269" s="269"/>
      <c r="H269" s="269"/>
      <c r="J269" s="269"/>
      <c r="K269" s="269"/>
      <c r="L269" s="269"/>
      <c r="M269" s="269"/>
      <c r="N269" s="269"/>
      <c r="O269" s="269"/>
    </row>
    <row r="270" spans="2:15" ht="9.75" customHeight="1" x14ac:dyDescent="0.2">
      <c r="B270" s="269"/>
      <c r="C270" s="269"/>
      <c r="E270" s="269"/>
      <c r="H270" s="269"/>
      <c r="J270" s="269"/>
      <c r="K270" s="269"/>
      <c r="L270" s="269"/>
      <c r="M270" s="269"/>
      <c r="N270" s="269"/>
      <c r="O270" s="269"/>
    </row>
    <row r="271" spans="2:15" ht="9.75" customHeight="1" x14ac:dyDescent="0.2">
      <c r="B271" s="269"/>
      <c r="C271" s="269"/>
      <c r="E271" s="269"/>
      <c r="H271" s="269"/>
      <c r="J271" s="269"/>
      <c r="K271" s="269"/>
      <c r="L271" s="269"/>
      <c r="M271" s="269"/>
      <c r="N271" s="269"/>
      <c r="O271" s="269"/>
    </row>
    <row r="272" spans="2:15" ht="9.75" customHeight="1" x14ac:dyDescent="0.2">
      <c r="B272" s="269"/>
      <c r="C272" s="269"/>
      <c r="E272" s="269"/>
      <c r="H272" s="269"/>
      <c r="J272" s="269"/>
      <c r="K272" s="269"/>
      <c r="L272" s="269"/>
      <c r="M272" s="269"/>
      <c r="N272" s="269"/>
      <c r="O272" s="269"/>
    </row>
    <row r="273" spans="2:15" ht="9.75" customHeight="1" x14ac:dyDescent="0.2">
      <c r="B273" s="269"/>
      <c r="C273" s="269"/>
      <c r="E273" s="269"/>
      <c r="H273" s="269"/>
      <c r="J273" s="269"/>
      <c r="K273" s="269"/>
      <c r="L273" s="269"/>
      <c r="M273" s="269"/>
      <c r="N273" s="269"/>
      <c r="O273" s="269"/>
    </row>
    <row r="274" spans="2:15" ht="9.75" customHeight="1" x14ac:dyDescent="0.2">
      <c r="B274" s="269"/>
      <c r="C274" s="269"/>
      <c r="E274" s="269"/>
      <c r="H274" s="269"/>
      <c r="J274" s="269"/>
      <c r="K274" s="269"/>
      <c r="L274" s="269"/>
      <c r="M274" s="269"/>
      <c r="N274" s="269"/>
      <c r="O274" s="269"/>
    </row>
    <row r="275" spans="2:15" ht="9.75" customHeight="1" x14ac:dyDescent="0.2">
      <c r="B275" s="269"/>
      <c r="C275" s="269"/>
      <c r="E275" s="269"/>
      <c r="H275" s="269"/>
      <c r="J275" s="269"/>
      <c r="K275" s="269"/>
      <c r="L275" s="269"/>
      <c r="M275" s="269"/>
      <c r="N275" s="269"/>
      <c r="O275" s="269"/>
    </row>
    <row r="276" spans="2:15" ht="9.75" customHeight="1" x14ac:dyDescent="0.2">
      <c r="B276" s="269"/>
      <c r="C276" s="269"/>
      <c r="E276" s="269"/>
      <c r="H276" s="269"/>
      <c r="J276" s="269"/>
      <c r="K276" s="269"/>
      <c r="L276" s="269"/>
      <c r="M276" s="269"/>
      <c r="N276" s="269"/>
      <c r="O276" s="269"/>
    </row>
    <row r="277" spans="2:15" ht="9.75" customHeight="1" x14ac:dyDescent="0.2">
      <c r="B277" s="269"/>
      <c r="C277" s="269"/>
      <c r="E277" s="269"/>
      <c r="H277" s="269"/>
      <c r="J277" s="269"/>
      <c r="K277" s="269"/>
      <c r="L277" s="269"/>
      <c r="M277" s="269"/>
      <c r="N277" s="269"/>
      <c r="O277" s="269"/>
    </row>
    <row r="278" spans="2:15" ht="9.75" customHeight="1" x14ac:dyDescent="0.2">
      <c r="B278" s="269"/>
      <c r="C278" s="269"/>
      <c r="E278" s="269"/>
      <c r="H278" s="269"/>
      <c r="J278" s="269"/>
      <c r="K278" s="269"/>
      <c r="L278" s="269"/>
      <c r="M278" s="269"/>
      <c r="N278" s="269"/>
      <c r="O278" s="269"/>
    </row>
    <row r="279" spans="2:15" ht="9.75" customHeight="1" x14ac:dyDescent="0.2">
      <c r="B279" s="269"/>
      <c r="C279" s="269"/>
      <c r="E279" s="269"/>
      <c r="H279" s="269"/>
      <c r="J279" s="269"/>
      <c r="K279" s="269"/>
      <c r="L279" s="269"/>
      <c r="M279" s="269"/>
      <c r="N279" s="269"/>
      <c r="O279" s="269"/>
    </row>
    <row r="280" spans="2:15" ht="9.75" customHeight="1" x14ac:dyDescent="0.2">
      <c r="B280" s="269"/>
      <c r="C280" s="269"/>
      <c r="E280" s="269"/>
      <c r="H280" s="269"/>
      <c r="J280" s="269"/>
      <c r="K280" s="269"/>
      <c r="L280" s="269"/>
      <c r="M280" s="269"/>
      <c r="N280" s="269"/>
      <c r="O280" s="269"/>
    </row>
    <row r="281" spans="2:15" ht="9.75" customHeight="1" x14ac:dyDescent="0.2">
      <c r="B281" s="269"/>
      <c r="C281" s="269"/>
      <c r="E281" s="269"/>
      <c r="H281" s="269"/>
      <c r="J281" s="269"/>
      <c r="K281" s="269"/>
      <c r="L281" s="269"/>
      <c r="M281" s="269"/>
      <c r="N281" s="269"/>
      <c r="O281" s="269"/>
    </row>
    <row r="282" spans="2:15" ht="9.75" customHeight="1" x14ac:dyDescent="0.2">
      <c r="B282" s="269"/>
      <c r="C282" s="269"/>
      <c r="E282" s="269"/>
      <c r="H282" s="269"/>
      <c r="J282" s="269"/>
      <c r="K282" s="269"/>
      <c r="L282" s="269"/>
      <c r="M282" s="269"/>
      <c r="N282" s="269"/>
      <c r="O282" s="269"/>
    </row>
    <row r="283" spans="2:15" ht="9.75" customHeight="1" x14ac:dyDescent="0.2">
      <c r="B283" s="269"/>
      <c r="C283" s="269"/>
      <c r="E283" s="269"/>
      <c r="H283" s="269"/>
      <c r="J283" s="269"/>
      <c r="K283" s="269"/>
      <c r="L283" s="269"/>
      <c r="M283" s="269"/>
      <c r="N283" s="269"/>
      <c r="O283" s="269"/>
    </row>
    <row r="284" spans="2:15" ht="9.75" customHeight="1" x14ac:dyDescent="0.2">
      <c r="B284" s="269"/>
      <c r="C284" s="269"/>
      <c r="E284" s="269"/>
      <c r="H284" s="269"/>
      <c r="J284" s="269"/>
      <c r="K284" s="269"/>
      <c r="L284" s="269"/>
      <c r="M284" s="269"/>
      <c r="N284" s="269"/>
      <c r="O284" s="269"/>
    </row>
    <row r="285" spans="2:15" ht="9.75" customHeight="1" x14ac:dyDescent="0.2">
      <c r="B285" s="269"/>
      <c r="C285" s="269"/>
      <c r="E285" s="269"/>
      <c r="H285" s="269"/>
      <c r="J285" s="269"/>
      <c r="K285" s="269"/>
      <c r="L285" s="269"/>
      <c r="M285" s="269"/>
      <c r="N285" s="269"/>
      <c r="O285" s="269"/>
    </row>
    <row r="286" spans="2:15" ht="9.75" customHeight="1" x14ac:dyDescent="0.2">
      <c r="B286" s="269"/>
      <c r="C286" s="269"/>
      <c r="E286" s="269"/>
      <c r="H286" s="269"/>
      <c r="J286" s="269"/>
      <c r="K286" s="269"/>
      <c r="L286" s="269"/>
      <c r="M286" s="269"/>
      <c r="N286" s="269"/>
      <c r="O286" s="269"/>
    </row>
    <row r="287" spans="2:15" ht="9.75" customHeight="1" x14ac:dyDescent="0.2">
      <c r="B287" s="269"/>
      <c r="C287" s="269"/>
      <c r="E287" s="269"/>
      <c r="H287" s="269"/>
      <c r="J287" s="269"/>
      <c r="K287" s="269"/>
      <c r="L287" s="269"/>
      <c r="M287" s="269"/>
      <c r="N287" s="269"/>
      <c r="O287" s="269"/>
    </row>
    <row r="288" spans="2:15" ht="9.75" customHeight="1" x14ac:dyDescent="0.2">
      <c r="B288" s="269"/>
      <c r="C288" s="269"/>
      <c r="E288" s="269"/>
      <c r="H288" s="269"/>
      <c r="J288" s="269"/>
      <c r="K288" s="269"/>
      <c r="L288" s="269"/>
      <c r="M288" s="269"/>
      <c r="N288" s="269"/>
      <c r="O288" s="269"/>
    </row>
    <row r="289" spans="2:15" ht="9.75" customHeight="1" x14ac:dyDescent="0.2">
      <c r="B289" s="269"/>
      <c r="C289" s="269"/>
      <c r="E289" s="269"/>
      <c r="H289" s="269"/>
      <c r="J289" s="269"/>
      <c r="K289" s="269"/>
      <c r="L289" s="269"/>
      <c r="M289" s="269"/>
      <c r="N289" s="269"/>
      <c r="O289" s="269"/>
    </row>
    <row r="290" spans="2:15" ht="9.75" customHeight="1" x14ac:dyDescent="0.2">
      <c r="B290" s="269"/>
      <c r="C290" s="269"/>
      <c r="E290" s="269"/>
      <c r="H290" s="269"/>
      <c r="J290" s="269"/>
      <c r="K290" s="269"/>
      <c r="L290" s="269"/>
      <c r="M290" s="269"/>
      <c r="N290" s="269"/>
      <c r="O290" s="269"/>
    </row>
    <row r="291" spans="2:15" ht="9.75" customHeight="1" x14ac:dyDescent="0.2">
      <c r="B291" s="269"/>
      <c r="C291" s="269"/>
      <c r="E291" s="269"/>
      <c r="H291" s="269"/>
      <c r="J291" s="269"/>
      <c r="K291" s="269"/>
      <c r="L291" s="269"/>
      <c r="M291" s="269"/>
      <c r="N291" s="269"/>
      <c r="O291" s="269"/>
    </row>
    <row r="292" spans="2:15" ht="9.75" customHeight="1" x14ac:dyDescent="0.2">
      <c r="B292" s="269"/>
      <c r="C292" s="269"/>
      <c r="E292" s="269"/>
      <c r="H292" s="269"/>
      <c r="J292" s="269"/>
      <c r="K292" s="269"/>
      <c r="L292" s="269"/>
      <c r="M292" s="269"/>
      <c r="N292" s="269"/>
      <c r="O292" s="269"/>
    </row>
    <row r="293" spans="2:15" ht="9.75" customHeight="1" x14ac:dyDescent="0.2">
      <c r="B293" s="269"/>
      <c r="C293" s="269"/>
      <c r="E293" s="269"/>
      <c r="H293" s="269"/>
      <c r="J293" s="269"/>
      <c r="K293" s="269"/>
      <c r="L293" s="269"/>
      <c r="M293" s="269"/>
      <c r="N293" s="269"/>
      <c r="O293" s="269"/>
    </row>
    <row r="294" spans="2:15" ht="9.75" customHeight="1" x14ac:dyDescent="0.2">
      <c r="B294" s="269"/>
      <c r="C294" s="269"/>
      <c r="E294" s="269"/>
      <c r="H294" s="269"/>
      <c r="J294" s="269"/>
      <c r="K294" s="269"/>
      <c r="L294" s="269"/>
      <c r="M294" s="269"/>
      <c r="N294" s="269"/>
      <c r="O294" s="269"/>
    </row>
    <row r="295" spans="2:15" ht="9.75" customHeight="1" x14ac:dyDescent="0.2">
      <c r="B295" s="269"/>
      <c r="C295" s="269"/>
      <c r="E295" s="269"/>
      <c r="H295" s="269"/>
      <c r="J295" s="269"/>
      <c r="K295" s="269"/>
      <c r="L295" s="269"/>
      <c r="M295" s="269"/>
      <c r="N295" s="269"/>
      <c r="O295" s="269"/>
    </row>
    <row r="296" spans="2:15" ht="9.75" customHeight="1" x14ac:dyDescent="0.2">
      <c r="B296" s="269"/>
      <c r="C296" s="269"/>
      <c r="E296" s="269"/>
      <c r="H296" s="269"/>
      <c r="J296" s="269"/>
      <c r="K296" s="269"/>
      <c r="L296" s="269"/>
      <c r="M296" s="269"/>
      <c r="N296" s="269"/>
      <c r="O296" s="269"/>
    </row>
    <row r="297" spans="2:15" ht="9.75" customHeight="1" x14ac:dyDescent="0.2">
      <c r="B297" s="269"/>
      <c r="C297" s="269"/>
      <c r="E297" s="269"/>
      <c r="H297" s="269"/>
      <c r="J297" s="269"/>
      <c r="K297" s="269"/>
      <c r="L297" s="269"/>
      <c r="M297" s="269"/>
      <c r="N297" s="269"/>
      <c r="O297" s="269"/>
    </row>
    <row r="298" spans="2:15" ht="9.75" customHeight="1" x14ac:dyDescent="0.2">
      <c r="B298" s="269"/>
      <c r="C298" s="269"/>
      <c r="E298" s="269"/>
      <c r="H298" s="269"/>
      <c r="J298" s="269"/>
      <c r="K298" s="269"/>
      <c r="L298" s="269"/>
      <c r="M298" s="269"/>
      <c r="N298" s="269"/>
      <c r="O298" s="269"/>
    </row>
    <row r="299" spans="2:15" ht="9.75" customHeight="1" x14ac:dyDescent="0.2">
      <c r="B299" s="269"/>
      <c r="C299" s="269"/>
      <c r="E299" s="269"/>
      <c r="H299" s="269"/>
      <c r="J299" s="269"/>
      <c r="K299" s="269"/>
      <c r="L299" s="269"/>
      <c r="M299" s="269"/>
      <c r="N299" s="269"/>
      <c r="O299" s="269"/>
    </row>
    <row r="300" spans="2:15" ht="9.75" customHeight="1" x14ac:dyDescent="0.2">
      <c r="B300" s="269"/>
      <c r="C300" s="269"/>
      <c r="E300" s="269"/>
      <c r="H300" s="269"/>
      <c r="J300" s="269"/>
      <c r="K300" s="269"/>
      <c r="L300" s="269"/>
      <c r="M300" s="269"/>
      <c r="N300" s="269"/>
      <c r="O300" s="269"/>
    </row>
    <row r="301" spans="2:15" ht="9.75" customHeight="1" x14ac:dyDescent="0.2">
      <c r="B301" s="269"/>
      <c r="C301" s="269"/>
      <c r="E301" s="269"/>
      <c r="H301" s="269"/>
      <c r="J301" s="269"/>
      <c r="K301" s="269"/>
      <c r="L301" s="269"/>
      <c r="M301" s="269"/>
      <c r="N301" s="269"/>
      <c r="O301" s="269"/>
    </row>
    <row r="302" spans="2:15" ht="9.75" customHeight="1" x14ac:dyDescent="0.2">
      <c r="B302" s="269"/>
      <c r="C302" s="269"/>
      <c r="E302" s="269"/>
      <c r="H302" s="269"/>
      <c r="J302" s="269"/>
      <c r="K302" s="269"/>
      <c r="L302" s="269"/>
      <c r="M302" s="269"/>
      <c r="N302" s="269"/>
      <c r="O302" s="269"/>
    </row>
    <row r="303" spans="2:15" ht="9.75" customHeight="1" x14ac:dyDescent="0.2">
      <c r="B303" s="269"/>
      <c r="C303" s="269"/>
      <c r="E303" s="269"/>
      <c r="H303" s="269"/>
      <c r="J303" s="269"/>
      <c r="K303" s="269"/>
      <c r="L303" s="269"/>
      <c r="M303" s="269"/>
      <c r="N303" s="269"/>
      <c r="O303" s="269"/>
    </row>
    <row r="304" spans="2:15" ht="9.75" customHeight="1" x14ac:dyDescent="0.2">
      <c r="B304" s="269"/>
      <c r="C304" s="269"/>
      <c r="E304" s="269"/>
      <c r="H304" s="269"/>
      <c r="J304" s="269"/>
      <c r="K304" s="269"/>
      <c r="L304" s="269"/>
      <c r="M304" s="269"/>
      <c r="N304" s="269"/>
      <c r="O304" s="269"/>
    </row>
    <row r="305" spans="2:15" ht="9.75" customHeight="1" x14ac:dyDescent="0.2">
      <c r="B305" s="269"/>
      <c r="C305" s="269"/>
      <c r="E305" s="269"/>
      <c r="H305" s="269"/>
      <c r="J305" s="269"/>
      <c r="K305" s="269"/>
      <c r="L305" s="269"/>
      <c r="M305" s="269"/>
      <c r="N305" s="269"/>
      <c r="O305" s="269"/>
    </row>
    <row r="306" spans="2:15" ht="9.75" customHeight="1" x14ac:dyDescent="0.2">
      <c r="B306" s="269"/>
      <c r="C306" s="269"/>
      <c r="E306" s="269"/>
      <c r="H306" s="269"/>
      <c r="J306" s="269"/>
      <c r="K306" s="269"/>
      <c r="L306" s="269"/>
      <c r="M306" s="269"/>
      <c r="N306" s="269"/>
      <c r="O306" s="269"/>
    </row>
    <row r="307" spans="2:15" ht="9.75" customHeight="1" x14ac:dyDescent="0.2">
      <c r="B307" s="269"/>
      <c r="C307" s="269"/>
      <c r="E307" s="269"/>
      <c r="H307" s="269"/>
      <c r="J307" s="269"/>
      <c r="K307" s="269"/>
      <c r="L307" s="269"/>
      <c r="M307" s="269"/>
      <c r="N307" s="269"/>
      <c r="O307" s="269"/>
    </row>
    <row r="308" spans="2:15" ht="9.75" customHeight="1" x14ac:dyDescent="0.2">
      <c r="B308" s="269"/>
      <c r="C308" s="269"/>
      <c r="E308" s="269"/>
      <c r="H308" s="269"/>
      <c r="J308" s="269"/>
      <c r="K308" s="269"/>
      <c r="L308" s="269"/>
      <c r="M308" s="269"/>
      <c r="N308" s="269"/>
      <c r="O308" s="269"/>
    </row>
    <row r="309" spans="2:15" ht="9.75" customHeight="1" x14ac:dyDescent="0.2">
      <c r="B309" s="269"/>
      <c r="C309" s="269"/>
      <c r="E309" s="269"/>
      <c r="H309" s="269"/>
      <c r="J309" s="269"/>
      <c r="K309" s="269"/>
      <c r="L309" s="269"/>
      <c r="M309" s="269"/>
      <c r="N309" s="269"/>
      <c r="O309" s="269"/>
    </row>
    <row r="310" spans="2:15" ht="9.75" customHeight="1" x14ac:dyDescent="0.2">
      <c r="B310" s="269"/>
      <c r="C310" s="269"/>
      <c r="E310" s="269"/>
      <c r="H310" s="269"/>
      <c r="J310" s="269"/>
      <c r="K310" s="269"/>
      <c r="L310" s="269"/>
      <c r="M310" s="269"/>
      <c r="N310" s="269"/>
      <c r="O310" s="269"/>
    </row>
    <row r="311" spans="2:15" ht="9.75" customHeight="1" x14ac:dyDescent="0.2">
      <c r="B311" s="269"/>
      <c r="C311" s="269"/>
      <c r="E311" s="269"/>
      <c r="H311" s="269"/>
      <c r="J311" s="269"/>
      <c r="K311" s="269"/>
      <c r="L311" s="269"/>
      <c r="M311" s="269"/>
      <c r="N311" s="269"/>
      <c r="O311" s="269"/>
    </row>
    <row r="312" spans="2:15" ht="9.75" customHeight="1" x14ac:dyDescent="0.2">
      <c r="B312" s="269"/>
      <c r="C312" s="269"/>
      <c r="E312" s="269"/>
      <c r="H312" s="269"/>
      <c r="J312" s="269"/>
      <c r="K312" s="269"/>
      <c r="L312" s="269"/>
      <c r="M312" s="269"/>
      <c r="N312" s="269"/>
      <c r="O312" s="269"/>
    </row>
    <row r="313" spans="2:15" ht="9.75" customHeight="1" x14ac:dyDescent="0.2">
      <c r="B313" s="269"/>
      <c r="C313" s="269"/>
      <c r="E313" s="269"/>
      <c r="H313" s="269"/>
      <c r="J313" s="269"/>
      <c r="K313" s="269"/>
      <c r="L313" s="269"/>
      <c r="M313" s="269"/>
      <c r="N313" s="269"/>
      <c r="O313" s="269"/>
    </row>
    <row r="314" spans="2:15" ht="9.75" customHeight="1" x14ac:dyDescent="0.2">
      <c r="B314" s="269"/>
      <c r="C314" s="269"/>
      <c r="E314" s="269"/>
      <c r="H314" s="269"/>
      <c r="J314" s="269"/>
      <c r="K314" s="269"/>
      <c r="L314" s="269"/>
      <c r="M314" s="269"/>
      <c r="N314" s="269"/>
      <c r="O314" s="269"/>
    </row>
    <row r="315" spans="2:15" ht="9.75" customHeight="1" x14ac:dyDescent="0.2">
      <c r="B315" s="269"/>
      <c r="C315" s="269"/>
      <c r="E315" s="269"/>
      <c r="H315" s="269"/>
      <c r="J315" s="269"/>
      <c r="K315" s="269"/>
      <c r="L315" s="269"/>
      <c r="M315" s="269"/>
      <c r="N315" s="269"/>
      <c r="O315" s="269"/>
    </row>
    <row r="316" spans="2:15" ht="9.75" customHeight="1" x14ac:dyDescent="0.2">
      <c r="B316" s="269"/>
      <c r="C316" s="269"/>
      <c r="E316" s="269"/>
      <c r="H316" s="269"/>
      <c r="J316" s="269"/>
      <c r="K316" s="269"/>
      <c r="L316" s="269"/>
      <c r="M316" s="269"/>
      <c r="N316" s="269"/>
      <c r="O316" s="269"/>
    </row>
    <row r="317" spans="2:15" ht="9.75" customHeight="1" x14ac:dyDescent="0.2">
      <c r="B317" s="269"/>
      <c r="C317" s="269"/>
      <c r="E317" s="269"/>
      <c r="H317" s="269"/>
      <c r="J317" s="269"/>
      <c r="K317" s="269"/>
      <c r="L317" s="269"/>
      <c r="M317" s="269"/>
      <c r="N317" s="269"/>
      <c r="O317" s="269"/>
    </row>
    <row r="318" spans="2:15" ht="9.75" customHeight="1" x14ac:dyDescent="0.2">
      <c r="B318" s="269"/>
      <c r="C318" s="269"/>
      <c r="E318" s="269"/>
      <c r="H318" s="269"/>
      <c r="J318" s="269"/>
      <c r="K318" s="269"/>
      <c r="L318" s="269"/>
      <c r="M318" s="269"/>
      <c r="N318" s="269"/>
      <c r="O318" s="269"/>
    </row>
    <row r="319" spans="2:15" ht="9.75" customHeight="1" x14ac:dyDescent="0.2">
      <c r="B319" s="269"/>
      <c r="C319" s="269"/>
      <c r="E319" s="269"/>
      <c r="H319" s="269"/>
      <c r="J319" s="269"/>
      <c r="K319" s="269"/>
      <c r="L319" s="269"/>
      <c r="M319" s="269"/>
      <c r="N319" s="269"/>
      <c r="O319" s="269"/>
    </row>
    <row r="320" spans="2:15" ht="9.75" customHeight="1" x14ac:dyDescent="0.2">
      <c r="B320" s="269"/>
      <c r="C320" s="269"/>
      <c r="E320" s="269"/>
      <c r="H320" s="269"/>
      <c r="J320" s="269"/>
      <c r="K320" s="269"/>
      <c r="L320" s="269"/>
      <c r="M320" s="269"/>
      <c r="N320" s="269"/>
      <c r="O320" s="269"/>
    </row>
    <row r="321" spans="2:15" ht="9.75" customHeight="1" x14ac:dyDescent="0.2">
      <c r="B321" s="269"/>
      <c r="C321" s="269"/>
      <c r="E321" s="269"/>
      <c r="H321" s="269"/>
      <c r="J321" s="269"/>
      <c r="K321" s="269"/>
      <c r="L321" s="269"/>
      <c r="M321" s="269"/>
      <c r="N321" s="269"/>
      <c r="O321" s="269"/>
    </row>
    <row r="322" spans="2:15" ht="9.75" customHeight="1" x14ac:dyDescent="0.2">
      <c r="B322" s="269"/>
      <c r="C322" s="269"/>
      <c r="E322" s="269"/>
      <c r="H322" s="269"/>
      <c r="J322" s="269"/>
      <c r="K322" s="269"/>
      <c r="L322" s="269"/>
      <c r="M322" s="269"/>
      <c r="N322" s="269"/>
      <c r="O322" s="269"/>
    </row>
    <row r="323" spans="2:15" ht="9.75" customHeight="1" x14ac:dyDescent="0.2">
      <c r="B323" s="269"/>
      <c r="C323" s="269"/>
      <c r="E323" s="269"/>
      <c r="H323" s="269"/>
      <c r="J323" s="269"/>
      <c r="K323" s="269"/>
      <c r="L323" s="269"/>
      <c r="M323" s="269"/>
      <c r="N323" s="269"/>
      <c r="O323" s="269"/>
    </row>
    <row r="324" spans="2:15" ht="9.75" customHeight="1" x14ac:dyDescent="0.2">
      <c r="B324" s="269"/>
      <c r="C324" s="269"/>
      <c r="E324" s="269"/>
      <c r="H324" s="269"/>
      <c r="J324" s="269"/>
      <c r="K324" s="269"/>
      <c r="L324" s="269"/>
      <c r="M324" s="269"/>
      <c r="N324" s="269"/>
      <c r="O324" s="269"/>
    </row>
    <row r="325" spans="2:15" ht="9.75" customHeight="1" x14ac:dyDescent="0.2">
      <c r="B325" s="269"/>
      <c r="C325" s="269"/>
      <c r="E325" s="269"/>
      <c r="H325" s="269"/>
      <c r="J325" s="269"/>
      <c r="K325" s="269"/>
      <c r="L325" s="269"/>
      <c r="M325" s="269"/>
      <c r="N325" s="269"/>
      <c r="O325" s="269"/>
    </row>
    <row r="326" spans="2:15" ht="9.75" customHeight="1" x14ac:dyDescent="0.2">
      <c r="B326" s="269"/>
      <c r="C326" s="269"/>
      <c r="E326" s="269"/>
      <c r="H326" s="269"/>
      <c r="J326" s="269"/>
      <c r="K326" s="269"/>
      <c r="L326" s="269"/>
      <c r="M326" s="269"/>
      <c r="N326" s="269"/>
      <c r="O326" s="269"/>
    </row>
    <row r="327" spans="2:15" ht="9.75" customHeight="1" x14ac:dyDescent="0.2">
      <c r="B327" s="269"/>
      <c r="C327" s="269"/>
      <c r="E327" s="269"/>
      <c r="H327" s="269"/>
      <c r="J327" s="269"/>
      <c r="K327" s="269"/>
      <c r="L327" s="269"/>
      <c r="M327" s="269"/>
      <c r="N327" s="269"/>
      <c r="O327" s="269"/>
    </row>
    <row r="328" spans="2:15" ht="9.75" customHeight="1" x14ac:dyDescent="0.2">
      <c r="B328" s="269"/>
      <c r="C328" s="269"/>
      <c r="E328" s="269"/>
      <c r="H328" s="269"/>
      <c r="J328" s="269"/>
      <c r="K328" s="269"/>
      <c r="L328" s="269"/>
      <c r="M328" s="269"/>
      <c r="N328" s="269"/>
      <c r="O328" s="269"/>
    </row>
    <row r="329" spans="2:15" ht="9.75" customHeight="1" x14ac:dyDescent="0.2">
      <c r="B329" s="269"/>
      <c r="C329" s="269"/>
      <c r="E329" s="269"/>
      <c r="H329" s="269"/>
      <c r="J329" s="269"/>
      <c r="K329" s="269"/>
      <c r="L329" s="269"/>
      <c r="M329" s="269"/>
      <c r="N329" s="269"/>
      <c r="O329" s="269"/>
    </row>
    <row r="330" spans="2:15" ht="9.75" customHeight="1" x14ac:dyDescent="0.2">
      <c r="B330" s="269"/>
      <c r="C330" s="269"/>
      <c r="E330" s="269"/>
      <c r="H330" s="269"/>
      <c r="J330" s="269"/>
      <c r="K330" s="269"/>
      <c r="L330" s="269"/>
      <c r="M330" s="269"/>
      <c r="N330" s="269"/>
      <c r="O330" s="269"/>
    </row>
    <row r="331" spans="2:15" ht="9.75" customHeight="1" x14ac:dyDescent="0.2">
      <c r="B331" s="269"/>
      <c r="C331" s="269"/>
      <c r="E331" s="269"/>
      <c r="H331" s="269"/>
      <c r="J331" s="269"/>
      <c r="K331" s="269"/>
      <c r="L331" s="269"/>
      <c r="M331" s="269"/>
      <c r="N331" s="269"/>
      <c r="O331" s="269"/>
    </row>
    <row r="332" spans="2:15" ht="9.75" customHeight="1" x14ac:dyDescent="0.2">
      <c r="B332" s="269"/>
      <c r="C332" s="269"/>
      <c r="E332" s="269"/>
      <c r="H332" s="269"/>
      <c r="J332" s="269"/>
      <c r="K332" s="269"/>
      <c r="L332" s="269"/>
      <c r="M332" s="269"/>
      <c r="N332" s="269"/>
      <c r="O332" s="269"/>
    </row>
    <row r="333" spans="2:15" ht="9.75" customHeight="1" x14ac:dyDescent="0.2">
      <c r="B333" s="269"/>
      <c r="C333" s="269"/>
      <c r="E333" s="269"/>
      <c r="H333" s="269"/>
      <c r="J333" s="269"/>
      <c r="K333" s="269"/>
      <c r="L333" s="269"/>
      <c r="M333" s="269"/>
      <c r="N333" s="269"/>
      <c r="O333" s="269"/>
    </row>
    <row r="334" spans="2:15" ht="9.75" customHeight="1" x14ac:dyDescent="0.2">
      <c r="B334" s="269"/>
      <c r="C334" s="269"/>
      <c r="E334" s="269"/>
      <c r="H334" s="269"/>
      <c r="J334" s="269"/>
      <c r="K334" s="269"/>
      <c r="L334" s="269"/>
      <c r="M334" s="269"/>
      <c r="N334" s="269"/>
      <c r="O334" s="269"/>
    </row>
    <row r="335" spans="2:15" ht="9.75" customHeight="1" x14ac:dyDescent="0.2">
      <c r="B335" s="269"/>
      <c r="C335" s="269"/>
      <c r="E335" s="269"/>
      <c r="H335" s="269"/>
      <c r="J335" s="269"/>
      <c r="K335" s="269"/>
      <c r="L335" s="269"/>
      <c r="M335" s="269"/>
      <c r="N335" s="269"/>
      <c r="O335" s="269"/>
    </row>
    <row r="336" spans="2:15" ht="9.75" customHeight="1" x14ac:dyDescent="0.2">
      <c r="B336" s="269"/>
      <c r="C336" s="269"/>
      <c r="E336" s="269"/>
      <c r="H336" s="269"/>
      <c r="J336" s="269"/>
      <c r="K336" s="269"/>
      <c r="L336" s="269"/>
      <c r="M336" s="269"/>
      <c r="N336" s="269"/>
      <c r="O336" s="269"/>
    </row>
    <row r="337" spans="2:15" ht="9.75" customHeight="1" x14ac:dyDescent="0.2">
      <c r="B337" s="269"/>
      <c r="C337" s="269"/>
      <c r="E337" s="269"/>
      <c r="H337" s="269"/>
      <c r="J337" s="269"/>
      <c r="K337" s="269"/>
      <c r="L337" s="269"/>
      <c r="M337" s="269"/>
      <c r="N337" s="269"/>
      <c r="O337" s="269"/>
    </row>
    <row r="338" spans="2:15" ht="9.75" customHeight="1" x14ac:dyDescent="0.2">
      <c r="B338" s="269"/>
      <c r="C338" s="269"/>
      <c r="E338" s="269"/>
      <c r="H338" s="269"/>
      <c r="J338" s="269"/>
      <c r="K338" s="269"/>
      <c r="L338" s="269"/>
      <c r="M338" s="269"/>
      <c r="N338" s="269"/>
      <c r="O338" s="269"/>
    </row>
    <row r="339" spans="2:15" ht="9.75" customHeight="1" x14ac:dyDescent="0.2">
      <c r="B339" s="269"/>
      <c r="C339" s="269"/>
      <c r="E339" s="269"/>
      <c r="H339" s="269"/>
      <c r="J339" s="269"/>
      <c r="K339" s="269"/>
      <c r="L339" s="269"/>
      <c r="M339" s="269"/>
      <c r="N339" s="269"/>
      <c r="O339" s="269"/>
    </row>
    <row r="340" spans="2:15" ht="9.75" customHeight="1" x14ac:dyDescent="0.2">
      <c r="B340" s="269"/>
      <c r="C340" s="269"/>
      <c r="E340" s="269"/>
      <c r="H340" s="269"/>
      <c r="J340" s="269"/>
      <c r="K340" s="269"/>
      <c r="L340" s="269"/>
      <c r="M340" s="269"/>
      <c r="N340" s="269"/>
      <c r="O340" s="269"/>
    </row>
    <row r="341" spans="2:15" ht="9.75" customHeight="1" x14ac:dyDescent="0.2">
      <c r="B341" s="269"/>
      <c r="C341" s="269"/>
      <c r="E341" s="269"/>
      <c r="H341" s="269"/>
      <c r="J341" s="269"/>
      <c r="K341" s="269"/>
      <c r="L341" s="269"/>
      <c r="M341" s="269"/>
      <c r="N341" s="269"/>
      <c r="O341" s="269"/>
    </row>
    <row r="342" spans="2:15" ht="9.75" customHeight="1" x14ac:dyDescent="0.2">
      <c r="B342" s="269"/>
      <c r="C342" s="269"/>
      <c r="E342" s="269"/>
      <c r="H342" s="269"/>
      <c r="J342" s="269"/>
      <c r="K342" s="269"/>
      <c r="L342" s="269"/>
      <c r="M342" s="269"/>
      <c r="N342" s="269"/>
      <c r="O342" s="269"/>
    </row>
    <row r="343" spans="2:15" ht="9.75" customHeight="1" x14ac:dyDescent="0.2">
      <c r="B343" s="269"/>
      <c r="C343" s="269"/>
      <c r="E343" s="269"/>
      <c r="H343" s="269"/>
      <c r="J343" s="269"/>
      <c r="K343" s="269"/>
      <c r="L343" s="269"/>
      <c r="M343" s="269"/>
      <c r="N343" s="269"/>
      <c r="O343" s="269"/>
    </row>
    <row r="344" spans="2:15" ht="9.75" customHeight="1" x14ac:dyDescent="0.2">
      <c r="B344" s="269"/>
      <c r="C344" s="269"/>
      <c r="E344" s="269"/>
      <c r="H344" s="269"/>
      <c r="J344" s="269"/>
      <c r="K344" s="269"/>
      <c r="L344" s="269"/>
      <c r="M344" s="269"/>
      <c r="N344" s="269"/>
      <c r="O344" s="269"/>
    </row>
    <row r="345" spans="2:15" ht="9.75" customHeight="1" x14ac:dyDescent="0.2">
      <c r="B345" s="269"/>
      <c r="C345" s="269"/>
      <c r="E345" s="269"/>
      <c r="H345" s="269"/>
      <c r="J345" s="269"/>
      <c r="K345" s="269"/>
      <c r="L345" s="269"/>
      <c r="M345" s="269"/>
      <c r="N345" s="269"/>
      <c r="O345" s="269"/>
    </row>
    <row r="346" spans="2:15" ht="9.75" customHeight="1" x14ac:dyDescent="0.2">
      <c r="B346" s="269"/>
      <c r="C346" s="269"/>
      <c r="E346" s="269"/>
      <c r="H346" s="269"/>
      <c r="J346" s="269"/>
      <c r="K346" s="269"/>
      <c r="L346" s="269"/>
      <c r="M346" s="269"/>
      <c r="N346" s="269"/>
      <c r="O346" s="269"/>
    </row>
    <row r="347" spans="2:15" ht="9.75" customHeight="1" x14ac:dyDescent="0.2">
      <c r="B347" s="269"/>
      <c r="C347" s="269"/>
      <c r="E347" s="269"/>
      <c r="H347" s="269"/>
      <c r="J347" s="269"/>
      <c r="K347" s="269"/>
      <c r="L347" s="269"/>
      <c r="M347" s="269"/>
      <c r="N347" s="269"/>
      <c r="O347" s="269"/>
    </row>
    <row r="348" spans="2:15" ht="9.75" customHeight="1" x14ac:dyDescent="0.2">
      <c r="B348" s="269"/>
      <c r="C348" s="269"/>
      <c r="E348" s="269"/>
      <c r="H348" s="269"/>
      <c r="J348" s="269"/>
      <c r="K348" s="269"/>
      <c r="L348" s="269"/>
      <c r="M348" s="269"/>
      <c r="N348" s="269"/>
      <c r="O348" s="269"/>
    </row>
    <row r="349" spans="2:15" ht="9.75" customHeight="1" x14ac:dyDescent="0.2">
      <c r="B349" s="269"/>
      <c r="C349" s="269"/>
      <c r="E349" s="269"/>
      <c r="H349" s="269"/>
      <c r="J349" s="269"/>
      <c r="K349" s="269"/>
      <c r="L349" s="269"/>
      <c r="M349" s="269"/>
      <c r="N349" s="269"/>
      <c r="O349" s="269"/>
    </row>
    <row r="350" spans="2:15" ht="9.75" customHeight="1" x14ac:dyDescent="0.2">
      <c r="B350" s="269"/>
      <c r="C350" s="269"/>
      <c r="E350" s="269"/>
      <c r="H350" s="269"/>
      <c r="J350" s="269"/>
      <c r="K350" s="269"/>
      <c r="L350" s="269"/>
      <c r="M350" s="269"/>
      <c r="N350" s="269"/>
      <c r="O350" s="269"/>
    </row>
    <row r="351" spans="2:15" ht="9.75" customHeight="1" x14ac:dyDescent="0.2">
      <c r="B351" s="269"/>
      <c r="C351" s="269"/>
      <c r="E351" s="269"/>
      <c r="H351" s="269"/>
      <c r="J351" s="269"/>
      <c r="K351" s="269"/>
      <c r="L351" s="269"/>
      <c r="M351" s="269"/>
      <c r="N351" s="269"/>
      <c r="O351" s="269"/>
    </row>
    <row r="352" spans="2:15" ht="9.75" customHeight="1" x14ac:dyDescent="0.2">
      <c r="B352" s="269"/>
      <c r="C352" s="269"/>
      <c r="E352" s="269"/>
      <c r="H352" s="269"/>
      <c r="J352" s="269"/>
      <c r="K352" s="269"/>
      <c r="L352" s="269"/>
      <c r="M352" s="269"/>
      <c r="N352" s="269"/>
      <c r="O352" s="269"/>
    </row>
    <row r="353" spans="2:15" ht="9.75" customHeight="1" x14ac:dyDescent="0.2">
      <c r="B353" s="269"/>
      <c r="C353" s="269"/>
      <c r="E353" s="269"/>
      <c r="H353" s="269"/>
      <c r="J353" s="269"/>
      <c r="K353" s="269"/>
      <c r="L353" s="269"/>
      <c r="M353" s="269"/>
      <c r="N353" s="269"/>
      <c r="O353" s="269"/>
    </row>
    <row r="354" spans="2:15" ht="9.75" customHeight="1" x14ac:dyDescent="0.2">
      <c r="B354" s="269"/>
      <c r="C354" s="269"/>
      <c r="E354" s="269"/>
      <c r="H354" s="269"/>
      <c r="J354" s="269"/>
      <c r="K354" s="269"/>
      <c r="L354" s="269"/>
      <c r="M354" s="269"/>
      <c r="N354" s="269"/>
      <c r="O354" s="269"/>
    </row>
    <row r="355" spans="2:15" ht="9.75" customHeight="1" x14ac:dyDescent="0.2">
      <c r="B355" s="269"/>
      <c r="C355" s="269"/>
      <c r="E355" s="269"/>
      <c r="H355" s="269"/>
      <c r="J355" s="269"/>
      <c r="K355" s="269"/>
      <c r="L355" s="269"/>
      <c r="M355" s="269"/>
      <c r="N355" s="269"/>
      <c r="O355" s="269"/>
    </row>
    <row r="356" spans="2:15" ht="9.75" customHeight="1" x14ac:dyDescent="0.2">
      <c r="B356" s="269"/>
      <c r="C356" s="269"/>
      <c r="E356" s="269"/>
      <c r="H356" s="269"/>
      <c r="J356" s="269"/>
      <c r="K356" s="269"/>
      <c r="L356" s="269"/>
      <c r="M356" s="269"/>
      <c r="N356" s="269"/>
      <c r="O356" s="269"/>
    </row>
    <row r="357" spans="2:15" ht="9.75" customHeight="1" x14ac:dyDescent="0.2">
      <c r="B357" s="269"/>
      <c r="C357" s="269"/>
      <c r="E357" s="269"/>
      <c r="H357" s="269"/>
      <c r="J357" s="269"/>
      <c r="K357" s="269"/>
      <c r="L357" s="269"/>
      <c r="M357" s="269"/>
      <c r="N357" s="269"/>
      <c r="O357" s="269"/>
    </row>
    <row r="358" spans="2:15" ht="9.75" customHeight="1" x14ac:dyDescent="0.2">
      <c r="B358" s="269"/>
      <c r="C358" s="269"/>
      <c r="E358" s="269"/>
      <c r="H358" s="269"/>
      <c r="J358" s="269"/>
      <c r="K358" s="269"/>
      <c r="L358" s="269"/>
      <c r="M358" s="269"/>
      <c r="N358" s="269"/>
      <c r="O358" s="269"/>
    </row>
    <row r="359" spans="2:15" ht="9.75" customHeight="1" x14ac:dyDescent="0.2">
      <c r="B359" s="269"/>
      <c r="C359" s="269"/>
      <c r="E359" s="269"/>
      <c r="H359" s="269"/>
      <c r="J359" s="269"/>
      <c r="K359" s="269"/>
      <c r="L359" s="269"/>
      <c r="M359" s="269"/>
      <c r="N359" s="269"/>
      <c r="O359" s="269"/>
    </row>
    <row r="360" spans="2:15" ht="9.75" customHeight="1" x14ac:dyDescent="0.2">
      <c r="B360" s="269"/>
      <c r="C360" s="269"/>
      <c r="E360" s="269"/>
      <c r="H360" s="269"/>
      <c r="J360" s="269"/>
      <c r="K360" s="269"/>
      <c r="L360" s="269"/>
      <c r="M360" s="269"/>
      <c r="N360" s="269"/>
      <c r="O360" s="269"/>
    </row>
    <row r="361" spans="2:15" ht="9.75" customHeight="1" x14ac:dyDescent="0.2">
      <c r="B361" s="269"/>
      <c r="C361" s="269"/>
      <c r="E361" s="269"/>
      <c r="H361" s="269"/>
      <c r="J361" s="269"/>
      <c r="K361" s="269"/>
      <c r="L361" s="269"/>
      <c r="M361" s="269"/>
      <c r="N361" s="269"/>
      <c r="O361" s="269"/>
    </row>
    <row r="362" spans="2:15" ht="9.75" customHeight="1" x14ac:dyDescent="0.2">
      <c r="B362" s="269"/>
      <c r="C362" s="269"/>
      <c r="E362" s="269"/>
      <c r="H362" s="269"/>
      <c r="J362" s="269"/>
      <c r="K362" s="269"/>
      <c r="L362" s="269"/>
      <c r="M362" s="269"/>
      <c r="N362" s="269"/>
      <c r="O362" s="269"/>
    </row>
    <row r="363" spans="2:15" ht="9.75" customHeight="1" x14ac:dyDescent="0.2">
      <c r="B363" s="269"/>
      <c r="C363" s="269"/>
      <c r="E363" s="269"/>
      <c r="H363" s="269"/>
      <c r="J363" s="269"/>
      <c r="K363" s="269"/>
      <c r="L363" s="269"/>
      <c r="M363" s="269"/>
      <c r="N363" s="269"/>
      <c r="O363" s="269"/>
    </row>
    <row r="364" spans="2:15" ht="9.75" customHeight="1" x14ac:dyDescent="0.2">
      <c r="B364" s="269"/>
      <c r="C364" s="269"/>
      <c r="E364" s="269"/>
      <c r="H364" s="269"/>
      <c r="J364" s="269"/>
      <c r="K364" s="269"/>
      <c r="L364" s="269"/>
      <c r="M364" s="269"/>
      <c r="N364" s="269"/>
      <c r="O364" s="269"/>
    </row>
    <row r="365" spans="2:15" ht="9.75" customHeight="1" x14ac:dyDescent="0.2">
      <c r="B365" s="269"/>
      <c r="C365" s="269"/>
      <c r="E365" s="269"/>
      <c r="H365" s="269"/>
      <c r="J365" s="269"/>
      <c r="K365" s="269"/>
      <c r="L365" s="269"/>
      <c r="M365" s="269"/>
      <c r="N365" s="269"/>
      <c r="O365" s="269"/>
    </row>
    <row r="366" spans="2:15" ht="9.75" customHeight="1" x14ac:dyDescent="0.2">
      <c r="B366" s="269"/>
      <c r="C366" s="269"/>
      <c r="E366" s="269"/>
      <c r="H366" s="269"/>
      <c r="J366" s="269"/>
      <c r="K366" s="269"/>
      <c r="L366" s="269"/>
      <c r="M366" s="269"/>
      <c r="N366" s="269"/>
      <c r="O366" s="269"/>
    </row>
    <row r="367" spans="2:15" ht="9.75" customHeight="1" x14ac:dyDescent="0.2">
      <c r="B367" s="269"/>
      <c r="C367" s="269"/>
      <c r="E367" s="269"/>
      <c r="H367" s="269"/>
      <c r="J367" s="269"/>
      <c r="K367" s="269"/>
      <c r="L367" s="269"/>
      <c r="M367" s="269"/>
      <c r="N367" s="269"/>
      <c r="O367" s="269"/>
    </row>
    <row r="368" spans="2:15" ht="9.75" customHeight="1" x14ac:dyDescent="0.2">
      <c r="B368" s="269"/>
      <c r="C368" s="269"/>
      <c r="E368" s="269"/>
      <c r="H368" s="269"/>
      <c r="J368" s="269"/>
      <c r="K368" s="269"/>
      <c r="L368" s="269"/>
      <c r="M368" s="269"/>
      <c r="N368" s="269"/>
      <c r="O368" s="269"/>
    </row>
    <row r="369" spans="2:15" ht="9.75" customHeight="1" x14ac:dyDescent="0.2">
      <c r="B369" s="269"/>
      <c r="C369" s="269"/>
      <c r="E369" s="269"/>
      <c r="H369" s="269"/>
      <c r="J369" s="269"/>
      <c r="K369" s="269"/>
      <c r="L369" s="269"/>
      <c r="M369" s="269"/>
      <c r="N369" s="269"/>
      <c r="O369" s="269"/>
    </row>
    <row r="370" spans="2:15" ht="9.75" customHeight="1" x14ac:dyDescent="0.2">
      <c r="B370" s="269"/>
      <c r="C370" s="269"/>
      <c r="E370" s="269"/>
      <c r="H370" s="269"/>
      <c r="J370" s="269"/>
      <c r="K370" s="269"/>
      <c r="L370" s="269"/>
      <c r="M370" s="269"/>
      <c r="N370" s="269"/>
      <c r="O370" s="269"/>
    </row>
    <row r="371" spans="2:15" ht="9.75" customHeight="1" x14ac:dyDescent="0.2">
      <c r="B371" s="269"/>
      <c r="C371" s="269"/>
      <c r="E371" s="269"/>
      <c r="H371" s="269"/>
      <c r="J371" s="269"/>
      <c r="K371" s="269"/>
      <c r="L371" s="269"/>
      <c r="M371" s="269"/>
      <c r="N371" s="269"/>
      <c r="O371" s="269"/>
    </row>
    <row r="372" spans="2:15" ht="9.75" customHeight="1" x14ac:dyDescent="0.2">
      <c r="B372" s="269"/>
      <c r="C372" s="269"/>
      <c r="E372" s="269"/>
      <c r="H372" s="269"/>
      <c r="J372" s="269"/>
      <c r="K372" s="269"/>
      <c r="L372" s="269"/>
      <c r="M372" s="269"/>
      <c r="N372" s="269"/>
      <c r="O372" s="269"/>
    </row>
    <row r="373" spans="2:15" ht="9.75" customHeight="1" x14ac:dyDescent="0.2">
      <c r="B373" s="269"/>
      <c r="C373" s="269"/>
      <c r="E373" s="269"/>
      <c r="H373" s="269"/>
      <c r="J373" s="269"/>
      <c r="K373" s="269"/>
      <c r="L373" s="269"/>
      <c r="M373" s="269"/>
      <c r="N373" s="269"/>
      <c r="O373" s="269"/>
    </row>
    <row r="374" spans="2:15" ht="9.75" customHeight="1" x14ac:dyDescent="0.2">
      <c r="B374" s="269"/>
      <c r="C374" s="269"/>
      <c r="E374" s="269"/>
      <c r="H374" s="269"/>
      <c r="J374" s="269"/>
      <c r="K374" s="269"/>
      <c r="L374" s="269"/>
      <c r="M374" s="269"/>
      <c r="N374" s="269"/>
      <c r="O374" s="269"/>
    </row>
    <row r="375" spans="2:15" ht="9.75" customHeight="1" x14ac:dyDescent="0.2">
      <c r="B375" s="269"/>
      <c r="C375" s="269"/>
      <c r="E375" s="269"/>
      <c r="H375" s="269"/>
      <c r="J375" s="269"/>
      <c r="K375" s="269"/>
      <c r="L375" s="269"/>
      <c r="M375" s="269"/>
      <c r="N375" s="269"/>
      <c r="O375" s="269"/>
    </row>
    <row r="376" spans="2:15" ht="9.75" customHeight="1" x14ac:dyDescent="0.2">
      <c r="B376" s="269"/>
      <c r="C376" s="269"/>
      <c r="E376" s="269"/>
      <c r="H376" s="269"/>
      <c r="J376" s="269"/>
      <c r="K376" s="269"/>
      <c r="L376" s="269"/>
      <c r="M376" s="269"/>
      <c r="N376" s="269"/>
      <c r="O376" s="269"/>
    </row>
    <row r="377" spans="2:15" ht="9.75" customHeight="1" x14ac:dyDescent="0.2">
      <c r="B377" s="269"/>
      <c r="C377" s="269"/>
      <c r="E377" s="269"/>
      <c r="H377" s="269"/>
      <c r="J377" s="269"/>
      <c r="K377" s="269"/>
      <c r="L377" s="269"/>
      <c r="M377" s="269"/>
      <c r="N377" s="269"/>
      <c r="O377" s="269"/>
    </row>
    <row r="378" spans="2:15" ht="9.75" customHeight="1" x14ac:dyDescent="0.2">
      <c r="B378" s="269"/>
      <c r="C378" s="269"/>
      <c r="E378" s="269"/>
      <c r="H378" s="269"/>
      <c r="J378" s="269"/>
      <c r="K378" s="269"/>
      <c r="L378" s="269"/>
      <c r="M378" s="269"/>
      <c r="N378" s="269"/>
      <c r="O378" s="269"/>
    </row>
    <row r="379" spans="2:15" ht="9.75" customHeight="1" x14ac:dyDescent="0.2">
      <c r="B379" s="269"/>
      <c r="C379" s="269"/>
      <c r="E379" s="269"/>
      <c r="H379" s="269"/>
      <c r="J379" s="269"/>
      <c r="K379" s="269"/>
      <c r="L379" s="269"/>
      <c r="M379" s="269"/>
      <c r="N379" s="269"/>
      <c r="O379" s="269"/>
    </row>
    <row r="380" spans="2:15" ht="9.75" customHeight="1" x14ac:dyDescent="0.2">
      <c r="B380" s="269"/>
      <c r="C380" s="269"/>
      <c r="E380" s="269"/>
      <c r="H380" s="269"/>
      <c r="J380" s="269"/>
      <c r="K380" s="269"/>
      <c r="L380" s="269"/>
      <c r="M380" s="269"/>
      <c r="N380" s="269"/>
      <c r="O380" s="269"/>
    </row>
    <row r="381" spans="2:15" ht="9.75" customHeight="1" x14ac:dyDescent="0.2">
      <c r="B381" s="269"/>
      <c r="C381" s="269"/>
      <c r="E381" s="269"/>
      <c r="H381" s="269"/>
      <c r="J381" s="269"/>
      <c r="K381" s="269"/>
      <c r="L381" s="269"/>
      <c r="M381" s="269"/>
      <c r="N381" s="269"/>
      <c r="O381" s="269"/>
    </row>
    <row r="382" spans="2:15" ht="9.75" customHeight="1" x14ac:dyDescent="0.2">
      <c r="B382" s="269"/>
      <c r="C382" s="269"/>
      <c r="E382" s="269"/>
      <c r="H382" s="269"/>
      <c r="J382" s="269"/>
      <c r="K382" s="269"/>
      <c r="L382" s="269"/>
      <c r="M382" s="269"/>
      <c r="N382" s="269"/>
      <c r="O382" s="269"/>
    </row>
    <row r="383" spans="2:15" ht="9.75" customHeight="1" x14ac:dyDescent="0.2">
      <c r="B383" s="269"/>
      <c r="C383" s="269"/>
      <c r="E383" s="269"/>
      <c r="H383" s="269"/>
      <c r="J383" s="269"/>
      <c r="K383" s="269"/>
      <c r="L383" s="269"/>
      <c r="M383" s="269"/>
      <c r="N383" s="269"/>
      <c r="O383" s="269"/>
    </row>
    <row r="384" spans="2:15" ht="9.75" customHeight="1" x14ac:dyDescent="0.2">
      <c r="B384" s="269"/>
      <c r="C384" s="269"/>
      <c r="E384" s="269"/>
      <c r="H384" s="269"/>
      <c r="J384" s="269"/>
      <c r="K384" s="269"/>
      <c r="L384" s="269"/>
      <c r="M384" s="269"/>
      <c r="N384" s="269"/>
      <c r="O384" s="269"/>
    </row>
    <row r="385" spans="2:15" ht="9.75" customHeight="1" x14ac:dyDescent="0.2">
      <c r="B385" s="269"/>
      <c r="C385" s="269"/>
      <c r="E385" s="269"/>
      <c r="H385" s="269"/>
      <c r="J385" s="269"/>
      <c r="K385" s="269"/>
      <c r="L385" s="269"/>
      <c r="M385" s="269"/>
      <c r="N385" s="269"/>
      <c r="O385" s="269"/>
    </row>
    <row r="386" spans="2:15" ht="9.75" customHeight="1" x14ac:dyDescent="0.2">
      <c r="B386" s="269"/>
      <c r="C386" s="269"/>
      <c r="E386" s="269"/>
      <c r="H386" s="269"/>
      <c r="J386" s="269"/>
      <c r="K386" s="269"/>
      <c r="L386" s="269"/>
      <c r="M386" s="269"/>
      <c r="N386" s="269"/>
      <c r="O386" s="269"/>
    </row>
    <row r="387" spans="2:15" ht="9.75" customHeight="1" x14ac:dyDescent="0.2">
      <c r="B387" s="269"/>
      <c r="C387" s="269"/>
      <c r="E387" s="269"/>
      <c r="H387" s="269"/>
      <c r="J387" s="269"/>
      <c r="K387" s="269"/>
      <c r="L387" s="269"/>
      <c r="M387" s="269"/>
      <c r="N387" s="269"/>
      <c r="O387" s="269"/>
    </row>
    <row r="388" spans="2:15" ht="9.75" customHeight="1" x14ac:dyDescent="0.2">
      <c r="B388" s="269"/>
      <c r="C388" s="269"/>
      <c r="E388" s="269"/>
      <c r="H388" s="269"/>
      <c r="J388" s="269"/>
      <c r="K388" s="269"/>
      <c r="L388" s="269"/>
      <c r="M388" s="269"/>
      <c r="N388" s="269"/>
      <c r="O388" s="269"/>
    </row>
    <row r="389" spans="2:15" ht="9.75" customHeight="1" x14ac:dyDescent="0.2">
      <c r="B389" s="269"/>
      <c r="C389" s="269"/>
      <c r="E389" s="269"/>
      <c r="H389" s="269"/>
      <c r="J389" s="269"/>
      <c r="K389" s="269"/>
      <c r="L389" s="269"/>
      <c r="M389" s="269"/>
      <c r="N389" s="269"/>
      <c r="O389" s="269"/>
    </row>
    <row r="390" spans="2:15" ht="9.75" customHeight="1" x14ac:dyDescent="0.2">
      <c r="B390" s="269"/>
      <c r="C390" s="269"/>
      <c r="E390" s="269"/>
      <c r="H390" s="269"/>
      <c r="J390" s="269"/>
      <c r="K390" s="269"/>
      <c r="L390" s="269"/>
      <c r="M390" s="269"/>
      <c r="N390" s="269"/>
      <c r="O390" s="269"/>
    </row>
    <row r="391" spans="2:15" ht="9.75" customHeight="1" x14ac:dyDescent="0.2">
      <c r="B391" s="269"/>
      <c r="C391" s="269"/>
      <c r="E391" s="269"/>
      <c r="H391" s="269"/>
      <c r="J391" s="269"/>
      <c r="K391" s="269"/>
      <c r="L391" s="269"/>
      <c r="M391" s="269"/>
      <c r="N391" s="269"/>
      <c r="O391" s="269"/>
    </row>
    <row r="392" spans="2:15" ht="9.75" customHeight="1" x14ac:dyDescent="0.2">
      <c r="B392" s="269"/>
      <c r="C392" s="269"/>
      <c r="E392" s="269"/>
      <c r="H392" s="269"/>
      <c r="J392" s="269"/>
      <c r="K392" s="269"/>
      <c r="L392" s="269"/>
      <c r="M392" s="269"/>
      <c r="N392" s="269"/>
      <c r="O392" s="269"/>
    </row>
    <row r="393" spans="2:15" ht="9.75" customHeight="1" x14ac:dyDescent="0.2">
      <c r="B393" s="269"/>
      <c r="C393" s="269"/>
      <c r="E393" s="269"/>
      <c r="H393" s="269"/>
      <c r="J393" s="269"/>
      <c r="K393" s="269"/>
      <c r="L393" s="269"/>
      <c r="M393" s="269"/>
      <c r="N393" s="269"/>
      <c r="O393" s="269"/>
    </row>
    <row r="394" spans="2:15" ht="9.75" customHeight="1" x14ac:dyDescent="0.2">
      <c r="B394" s="269"/>
      <c r="C394" s="269"/>
      <c r="E394" s="269"/>
      <c r="H394" s="269"/>
      <c r="J394" s="269"/>
      <c r="K394" s="269"/>
      <c r="L394" s="269"/>
      <c r="M394" s="269"/>
      <c r="N394" s="269"/>
      <c r="O394" s="269"/>
    </row>
    <row r="395" spans="2:15" ht="9.75" customHeight="1" x14ac:dyDescent="0.2">
      <c r="B395" s="269"/>
      <c r="C395" s="269"/>
      <c r="E395" s="269"/>
      <c r="H395" s="269"/>
      <c r="J395" s="269"/>
      <c r="K395" s="269"/>
      <c r="L395" s="269"/>
      <c r="M395" s="269"/>
      <c r="N395" s="269"/>
      <c r="O395" s="269"/>
    </row>
    <row r="396" spans="2:15" ht="9.75" customHeight="1" x14ac:dyDescent="0.2">
      <c r="B396" s="269"/>
      <c r="C396" s="269"/>
      <c r="E396" s="269"/>
      <c r="H396" s="269"/>
      <c r="J396" s="269"/>
      <c r="K396" s="269"/>
      <c r="L396" s="269"/>
      <c r="M396" s="269"/>
      <c r="N396" s="269"/>
      <c r="O396" s="269"/>
    </row>
    <row r="397" spans="2:15" ht="9.75" customHeight="1" x14ac:dyDescent="0.2">
      <c r="B397" s="269"/>
      <c r="C397" s="269"/>
      <c r="E397" s="269"/>
      <c r="H397" s="269"/>
      <c r="J397" s="269"/>
      <c r="K397" s="269"/>
      <c r="L397" s="269"/>
      <c r="M397" s="269"/>
      <c r="N397" s="269"/>
      <c r="O397" s="269"/>
    </row>
    <row r="398" spans="2:15" ht="9.75" customHeight="1" x14ac:dyDescent="0.2">
      <c r="B398" s="269"/>
      <c r="C398" s="269"/>
      <c r="E398" s="269"/>
      <c r="H398" s="269"/>
      <c r="J398" s="269"/>
      <c r="K398" s="269"/>
      <c r="L398" s="269"/>
      <c r="M398" s="269"/>
      <c r="N398" s="269"/>
      <c r="O398" s="269"/>
    </row>
    <row r="399" spans="2:15" ht="9.75" customHeight="1" x14ac:dyDescent="0.2">
      <c r="B399" s="269"/>
      <c r="C399" s="269"/>
      <c r="E399" s="269"/>
      <c r="H399" s="269"/>
      <c r="J399" s="269"/>
      <c r="K399" s="269"/>
      <c r="L399" s="269"/>
      <c r="M399" s="269"/>
      <c r="N399" s="269"/>
      <c r="O399" s="269"/>
    </row>
    <row r="400" spans="2:15" ht="9.75" customHeight="1" x14ac:dyDescent="0.2">
      <c r="B400" s="269"/>
      <c r="C400" s="269"/>
      <c r="E400" s="269"/>
      <c r="H400" s="269"/>
      <c r="J400" s="269"/>
      <c r="K400" s="269"/>
      <c r="L400" s="269"/>
      <c r="M400" s="269"/>
      <c r="N400" s="269"/>
      <c r="O400" s="269"/>
    </row>
    <row r="401" spans="2:15" ht="9.75" customHeight="1" x14ac:dyDescent="0.2">
      <c r="B401" s="269"/>
      <c r="C401" s="269"/>
      <c r="E401" s="269"/>
      <c r="H401" s="269"/>
      <c r="J401" s="269"/>
      <c r="K401" s="269"/>
      <c r="L401" s="269"/>
      <c r="M401" s="269"/>
      <c r="N401" s="269"/>
      <c r="O401" s="269"/>
    </row>
    <row r="402" spans="2:15" ht="9.75" customHeight="1" x14ac:dyDescent="0.2">
      <c r="B402" s="269"/>
      <c r="C402" s="269"/>
      <c r="E402" s="269"/>
      <c r="H402" s="269"/>
      <c r="J402" s="269"/>
      <c r="K402" s="269"/>
      <c r="L402" s="269"/>
      <c r="M402" s="269"/>
      <c r="N402" s="269"/>
      <c r="O402" s="269"/>
    </row>
    <row r="403" spans="2:15" ht="9.75" customHeight="1" x14ac:dyDescent="0.2">
      <c r="B403" s="269"/>
      <c r="C403" s="269"/>
      <c r="E403" s="269"/>
      <c r="H403" s="269"/>
      <c r="J403" s="269"/>
      <c r="K403" s="269"/>
      <c r="L403" s="269"/>
      <c r="M403" s="269"/>
      <c r="N403" s="269"/>
      <c r="O403" s="269"/>
    </row>
    <row r="404" spans="2:15" ht="9.75" customHeight="1" x14ac:dyDescent="0.2">
      <c r="B404" s="269"/>
      <c r="C404" s="269"/>
      <c r="E404" s="269"/>
      <c r="H404" s="269"/>
      <c r="J404" s="269"/>
      <c r="K404" s="269"/>
      <c r="L404" s="269"/>
      <c r="M404" s="269"/>
      <c r="N404" s="269"/>
      <c r="O404" s="269"/>
    </row>
    <row r="405" spans="2:15" ht="9.75" customHeight="1" x14ac:dyDescent="0.2">
      <c r="B405" s="269"/>
      <c r="C405" s="269"/>
      <c r="E405" s="269"/>
      <c r="H405" s="269"/>
      <c r="J405" s="269"/>
      <c r="K405" s="269"/>
      <c r="L405" s="269"/>
      <c r="M405" s="269"/>
      <c r="N405" s="269"/>
      <c r="O405" s="269"/>
    </row>
    <row r="406" spans="2:15" ht="9.75" customHeight="1" x14ac:dyDescent="0.2">
      <c r="B406" s="269"/>
      <c r="C406" s="269"/>
      <c r="E406" s="269"/>
      <c r="H406" s="269"/>
      <c r="J406" s="269"/>
      <c r="K406" s="269"/>
      <c r="L406" s="269"/>
      <c r="M406" s="269"/>
      <c r="N406" s="269"/>
      <c r="O406" s="269"/>
    </row>
    <row r="407" spans="2:15" ht="9.75" customHeight="1" x14ac:dyDescent="0.2">
      <c r="B407" s="269"/>
      <c r="C407" s="269"/>
      <c r="E407" s="269"/>
      <c r="H407" s="269"/>
      <c r="J407" s="269"/>
      <c r="K407" s="269"/>
      <c r="L407" s="269"/>
      <c r="M407" s="269"/>
      <c r="N407" s="269"/>
      <c r="O407" s="269"/>
    </row>
    <row r="408" spans="2:15" ht="9.75" customHeight="1" x14ac:dyDescent="0.2">
      <c r="B408" s="269"/>
      <c r="C408" s="269"/>
      <c r="E408" s="269"/>
      <c r="H408" s="269"/>
      <c r="J408" s="269"/>
      <c r="K408" s="269"/>
      <c r="L408" s="269"/>
      <c r="M408" s="269"/>
      <c r="N408" s="269"/>
      <c r="O408" s="269"/>
    </row>
    <row r="409" spans="2:15" ht="9.75" customHeight="1" x14ac:dyDescent="0.2">
      <c r="B409" s="269"/>
      <c r="C409" s="269"/>
      <c r="E409" s="269"/>
      <c r="H409" s="269"/>
      <c r="J409" s="269"/>
      <c r="K409" s="269"/>
      <c r="L409" s="269"/>
      <c r="M409" s="269"/>
      <c r="N409" s="269"/>
      <c r="O409" s="269"/>
    </row>
    <row r="410" spans="2:15" ht="9.75" customHeight="1" x14ac:dyDescent="0.2">
      <c r="B410" s="269"/>
      <c r="C410" s="269"/>
      <c r="E410" s="269"/>
      <c r="H410" s="269"/>
      <c r="J410" s="269"/>
      <c r="K410" s="269"/>
      <c r="L410" s="269"/>
      <c r="M410" s="269"/>
      <c r="N410" s="269"/>
      <c r="O410" s="269"/>
    </row>
    <row r="411" spans="2:15" ht="9.75" customHeight="1" x14ac:dyDescent="0.2">
      <c r="B411" s="269"/>
      <c r="C411" s="269"/>
      <c r="E411" s="269"/>
      <c r="H411" s="269"/>
      <c r="J411" s="269"/>
      <c r="K411" s="269"/>
      <c r="L411" s="269"/>
      <c r="M411" s="269"/>
      <c r="N411" s="269"/>
      <c r="O411" s="269"/>
    </row>
    <row r="412" spans="2:15" ht="9.75" customHeight="1" x14ac:dyDescent="0.2">
      <c r="B412" s="269"/>
      <c r="C412" s="269"/>
      <c r="E412" s="269"/>
      <c r="H412" s="269"/>
      <c r="J412" s="269"/>
      <c r="K412" s="269"/>
      <c r="L412" s="269"/>
      <c r="M412" s="269"/>
      <c r="N412" s="269"/>
      <c r="O412" s="269"/>
    </row>
    <row r="413" spans="2:15" ht="9.75" customHeight="1" x14ac:dyDescent="0.2">
      <c r="B413" s="269"/>
      <c r="C413" s="269"/>
      <c r="E413" s="269"/>
      <c r="H413" s="269"/>
      <c r="J413" s="269"/>
      <c r="K413" s="269"/>
      <c r="L413" s="269"/>
      <c r="M413" s="269"/>
      <c r="N413" s="269"/>
      <c r="O413" s="269"/>
    </row>
    <row r="414" spans="2:15" ht="9.75" customHeight="1" x14ac:dyDescent="0.2">
      <c r="B414" s="269"/>
      <c r="C414" s="269"/>
      <c r="E414" s="269"/>
      <c r="H414" s="269"/>
      <c r="J414" s="269"/>
      <c r="K414" s="269"/>
      <c r="L414" s="269"/>
      <c r="M414" s="269"/>
      <c r="N414" s="269"/>
      <c r="O414" s="269"/>
    </row>
    <row r="415" spans="2:15" ht="9.75" customHeight="1" x14ac:dyDescent="0.2">
      <c r="B415" s="269"/>
      <c r="C415" s="269"/>
      <c r="E415" s="269"/>
      <c r="H415" s="269"/>
      <c r="J415" s="269"/>
      <c r="K415" s="269"/>
      <c r="L415" s="269"/>
      <c r="M415" s="269"/>
      <c r="N415" s="269"/>
      <c r="O415" s="269"/>
    </row>
    <row r="416" spans="2:15" ht="9.75" customHeight="1" x14ac:dyDescent="0.2">
      <c r="B416" s="269"/>
      <c r="C416" s="269"/>
      <c r="E416" s="269"/>
      <c r="H416" s="269"/>
      <c r="J416" s="269"/>
      <c r="K416" s="269"/>
      <c r="L416" s="269"/>
      <c r="M416" s="269"/>
      <c r="N416" s="269"/>
      <c r="O416" s="269"/>
    </row>
    <row r="417" spans="2:15" ht="9.75" customHeight="1" x14ac:dyDescent="0.2">
      <c r="B417" s="269"/>
      <c r="C417" s="269"/>
      <c r="E417" s="269"/>
      <c r="H417" s="269"/>
      <c r="J417" s="269"/>
      <c r="K417" s="269"/>
      <c r="L417" s="269"/>
      <c r="M417" s="269"/>
      <c r="N417" s="269"/>
      <c r="O417" s="269"/>
    </row>
    <row r="418" spans="2:15" ht="9.75" customHeight="1" x14ac:dyDescent="0.2">
      <c r="B418" s="269"/>
      <c r="C418" s="269"/>
      <c r="E418" s="269"/>
      <c r="H418" s="269"/>
      <c r="J418" s="269"/>
      <c r="K418" s="269"/>
      <c r="L418" s="269"/>
      <c r="M418" s="269"/>
      <c r="N418" s="269"/>
      <c r="O418" s="269"/>
    </row>
    <row r="419" spans="2:15" ht="9.75" customHeight="1" x14ac:dyDescent="0.2">
      <c r="B419" s="269"/>
      <c r="C419" s="269"/>
      <c r="E419" s="269"/>
      <c r="H419" s="269"/>
      <c r="J419" s="269"/>
      <c r="K419" s="269"/>
      <c r="L419" s="269"/>
      <c r="M419" s="269"/>
      <c r="N419" s="269"/>
      <c r="O419" s="269"/>
    </row>
    <row r="420" spans="2:15" ht="9.75" customHeight="1" x14ac:dyDescent="0.2">
      <c r="B420" s="269"/>
      <c r="C420" s="269"/>
      <c r="E420" s="269"/>
      <c r="H420" s="269"/>
      <c r="J420" s="269"/>
      <c r="K420" s="269"/>
      <c r="L420" s="269"/>
      <c r="M420" s="269"/>
      <c r="N420" s="269"/>
      <c r="O420" s="269"/>
    </row>
    <row r="421" spans="2:15" ht="9.75" customHeight="1" x14ac:dyDescent="0.2">
      <c r="B421" s="269"/>
      <c r="C421" s="269"/>
      <c r="E421" s="269"/>
      <c r="H421" s="269"/>
      <c r="J421" s="269"/>
      <c r="K421" s="269"/>
      <c r="L421" s="269"/>
      <c r="M421" s="269"/>
      <c r="N421" s="269"/>
      <c r="O421" s="269"/>
    </row>
    <row r="422" spans="2:15" ht="9.75" customHeight="1" x14ac:dyDescent="0.2">
      <c r="B422" s="269"/>
      <c r="C422" s="269"/>
      <c r="E422" s="269"/>
      <c r="H422" s="269"/>
      <c r="J422" s="269"/>
      <c r="K422" s="269"/>
      <c r="L422" s="269"/>
      <c r="M422" s="269"/>
      <c r="N422" s="269"/>
      <c r="O422" s="269"/>
    </row>
    <row r="423" spans="2:15" ht="9.75" customHeight="1" x14ac:dyDescent="0.2">
      <c r="B423" s="269"/>
      <c r="C423" s="269"/>
      <c r="E423" s="269"/>
      <c r="H423" s="269"/>
      <c r="J423" s="269"/>
      <c r="K423" s="269"/>
      <c r="L423" s="269"/>
      <c r="M423" s="269"/>
      <c r="N423" s="269"/>
      <c r="O423" s="269"/>
    </row>
    <row r="424" spans="2:15" ht="9.75" customHeight="1" x14ac:dyDescent="0.2">
      <c r="B424" s="269"/>
      <c r="C424" s="269"/>
      <c r="E424" s="269"/>
      <c r="H424" s="269"/>
      <c r="J424" s="269"/>
      <c r="K424" s="269"/>
      <c r="L424" s="269"/>
      <c r="M424" s="269"/>
      <c r="N424" s="269"/>
      <c r="O424" s="269"/>
    </row>
    <row r="425" spans="2:15" ht="9.75" customHeight="1" x14ac:dyDescent="0.2">
      <c r="B425" s="269"/>
      <c r="C425" s="269"/>
      <c r="E425" s="269"/>
      <c r="H425" s="269"/>
      <c r="J425" s="269"/>
      <c r="K425" s="269"/>
      <c r="L425" s="269"/>
      <c r="M425" s="269"/>
      <c r="N425" s="269"/>
      <c r="O425" s="269"/>
    </row>
    <row r="426" spans="2:15" ht="9.75" customHeight="1" x14ac:dyDescent="0.2">
      <c r="B426" s="269"/>
      <c r="C426" s="269"/>
      <c r="E426" s="269"/>
      <c r="H426" s="269"/>
      <c r="J426" s="269"/>
      <c r="K426" s="269"/>
      <c r="L426" s="269"/>
      <c r="M426" s="269"/>
      <c r="N426" s="269"/>
      <c r="O426" s="269"/>
    </row>
    <row r="427" spans="2:15" ht="9.75" customHeight="1" x14ac:dyDescent="0.2">
      <c r="B427" s="269"/>
      <c r="C427" s="269"/>
      <c r="E427" s="269"/>
      <c r="H427" s="269"/>
      <c r="J427" s="269"/>
      <c r="K427" s="269"/>
      <c r="L427" s="269"/>
      <c r="M427" s="269"/>
      <c r="N427" s="269"/>
      <c r="O427" s="269"/>
    </row>
    <row r="428" spans="2:15" ht="9.75" customHeight="1" x14ac:dyDescent="0.2">
      <c r="B428" s="269"/>
      <c r="C428" s="269"/>
      <c r="E428" s="269"/>
      <c r="H428" s="269"/>
      <c r="J428" s="269"/>
      <c r="K428" s="269"/>
      <c r="L428" s="269"/>
      <c r="M428" s="269"/>
      <c r="N428" s="269"/>
      <c r="O428" s="269"/>
    </row>
    <row r="429" spans="2:15" ht="9.75" customHeight="1" x14ac:dyDescent="0.2">
      <c r="B429" s="269"/>
      <c r="C429" s="269"/>
      <c r="E429" s="269"/>
      <c r="H429" s="269"/>
      <c r="J429" s="269"/>
      <c r="K429" s="269"/>
      <c r="L429" s="269"/>
      <c r="M429" s="269"/>
      <c r="N429" s="269"/>
      <c r="O429" s="269"/>
    </row>
    <row r="430" spans="2:15" ht="9.75" customHeight="1" x14ac:dyDescent="0.2">
      <c r="B430" s="269"/>
      <c r="C430" s="269"/>
      <c r="E430" s="269"/>
      <c r="H430" s="269"/>
      <c r="J430" s="269"/>
      <c r="K430" s="269"/>
      <c r="L430" s="269"/>
      <c r="M430" s="269"/>
      <c r="N430" s="269"/>
      <c r="O430" s="269"/>
    </row>
    <row r="431" spans="2:15" ht="9.75" customHeight="1" x14ac:dyDescent="0.2">
      <c r="B431" s="269"/>
      <c r="C431" s="269"/>
      <c r="E431" s="269"/>
      <c r="H431" s="269"/>
      <c r="J431" s="269"/>
      <c r="K431" s="269"/>
      <c r="L431" s="269"/>
      <c r="M431" s="269"/>
      <c r="N431" s="269"/>
      <c r="O431" s="269"/>
    </row>
    <row r="432" spans="2:15" ht="9.75" customHeight="1" x14ac:dyDescent="0.2">
      <c r="B432" s="269"/>
      <c r="C432" s="269"/>
      <c r="E432" s="269"/>
      <c r="H432" s="269"/>
      <c r="J432" s="269"/>
      <c r="K432" s="269"/>
      <c r="L432" s="269"/>
      <c r="M432" s="269"/>
      <c r="N432" s="269"/>
      <c r="O432" s="269"/>
    </row>
    <row r="433" spans="2:15" ht="9.75" customHeight="1" x14ac:dyDescent="0.2">
      <c r="B433" s="269"/>
      <c r="C433" s="269"/>
      <c r="E433" s="269"/>
      <c r="H433" s="269"/>
      <c r="J433" s="269"/>
      <c r="K433" s="269"/>
      <c r="L433" s="269"/>
      <c r="M433" s="269"/>
      <c r="N433" s="269"/>
      <c r="O433" s="269"/>
    </row>
    <row r="434" spans="2:15" ht="9.75" customHeight="1" x14ac:dyDescent="0.2">
      <c r="B434" s="269"/>
      <c r="C434" s="269"/>
      <c r="E434" s="269"/>
      <c r="H434" s="269"/>
      <c r="J434" s="269"/>
      <c r="K434" s="269"/>
      <c r="L434" s="269"/>
      <c r="M434" s="269"/>
      <c r="N434" s="269"/>
      <c r="O434" s="269"/>
    </row>
    <row r="435" spans="2:15" ht="9.75" customHeight="1" x14ac:dyDescent="0.2">
      <c r="B435" s="269"/>
      <c r="C435" s="269"/>
      <c r="E435" s="269"/>
      <c r="H435" s="269"/>
      <c r="J435" s="269"/>
      <c r="K435" s="269"/>
      <c r="L435" s="269"/>
      <c r="M435" s="269"/>
      <c r="N435" s="269"/>
      <c r="O435" s="269"/>
    </row>
    <row r="436" spans="2:15" ht="9.75" customHeight="1" x14ac:dyDescent="0.2">
      <c r="B436" s="269"/>
      <c r="C436" s="269"/>
      <c r="E436" s="269"/>
      <c r="H436" s="269"/>
      <c r="J436" s="269"/>
      <c r="K436" s="269"/>
      <c r="L436" s="269"/>
      <c r="M436" s="269"/>
      <c r="N436" s="269"/>
      <c r="O436" s="269"/>
    </row>
    <row r="437" spans="2:15" ht="9.75" customHeight="1" x14ac:dyDescent="0.2">
      <c r="B437" s="269"/>
      <c r="C437" s="269"/>
      <c r="E437" s="269"/>
      <c r="H437" s="269"/>
      <c r="J437" s="269"/>
      <c r="K437" s="269"/>
      <c r="L437" s="269"/>
      <c r="M437" s="269"/>
      <c r="N437" s="269"/>
      <c r="O437" s="269"/>
    </row>
    <row r="438" spans="2:15" ht="9.75" customHeight="1" x14ac:dyDescent="0.2">
      <c r="B438" s="269"/>
      <c r="C438" s="269"/>
      <c r="E438" s="269"/>
      <c r="H438" s="269"/>
      <c r="J438" s="269"/>
      <c r="K438" s="269"/>
      <c r="L438" s="269"/>
      <c r="M438" s="269"/>
      <c r="N438" s="269"/>
      <c r="O438" s="269"/>
    </row>
    <row r="439" spans="2:15" ht="9.75" customHeight="1" x14ac:dyDescent="0.2">
      <c r="B439" s="269"/>
      <c r="C439" s="269"/>
      <c r="E439" s="269"/>
      <c r="H439" s="269"/>
      <c r="J439" s="269"/>
      <c r="K439" s="269"/>
      <c r="L439" s="269"/>
      <c r="M439" s="269"/>
      <c r="N439" s="269"/>
      <c r="O439" s="269"/>
    </row>
    <row r="440" spans="2:15" ht="9.75" customHeight="1" x14ac:dyDescent="0.2">
      <c r="B440" s="269"/>
      <c r="C440" s="269"/>
      <c r="E440" s="269"/>
      <c r="H440" s="269"/>
      <c r="J440" s="269"/>
      <c r="K440" s="269"/>
      <c r="L440" s="269"/>
      <c r="M440" s="269"/>
      <c r="N440" s="269"/>
      <c r="O440" s="269"/>
    </row>
    <row r="441" spans="2:15" ht="9.75" customHeight="1" x14ac:dyDescent="0.2">
      <c r="B441" s="269"/>
      <c r="C441" s="269"/>
      <c r="E441" s="269"/>
      <c r="H441" s="269"/>
      <c r="J441" s="269"/>
      <c r="K441" s="269"/>
      <c r="L441" s="269"/>
      <c r="M441" s="269"/>
      <c r="N441" s="269"/>
      <c r="O441" s="269"/>
    </row>
    <row r="442" spans="2:15" ht="9.75" customHeight="1" x14ac:dyDescent="0.2">
      <c r="B442" s="269"/>
      <c r="C442" s="269"/>
      <c r="E442" s="269"/>
      <c r="H442" s="269"/>
      <c r="J442" s="269"/>
      <c r="K442" s="269"/>
      <c r="L442" s="269"/>
      <c r="M442" s="269"/>
      <c r="N442" s="269"/>
      <c r="O442" s="269"/>
    </row>
    <row r="443" spans="2:15" ht="9.75" customHeight="1" x14ac:dyDescent="0.2">
      <c r="B443" s="269"/>
      <c r="C443" s="269"/>
      <c r="E443" s="269"/>
      <c r="H443" s="269"/>
      <c r="J443" s="269"/>
      <c r="K443" s="269"/>
      <c r="L443" s="269"/>
      <c r="M443" s="269"/>
      <c r="N443" s="269"/>
      <c r="O443" s="269"/>
    </row>
    <row r="444" spans="2:15" ht="9.75" customHeight="1" x14ac:dyDescent="0.2">
      <c r="B444" s="269"/>
      <c r="C444" s="269"/>
      <c r="E444" s="269"/>
      <c r="H444" s="269"/>
      <c r="J444" s="269"/>
      <c r="K444" s="269"/>
      <c r="L444" s="269"/>
      <c r="M444" s="269"/>
      <c r="N444" s="269"/>
      <c r="O444" s="269"/>
    </row>
    <row r="445" spans="2:15" ht="9.75" customHeight="1" x14ac:dyDescent="0.2">
      <c r="B445" s="269"/>
      <c r="C445" s="269"/>
      <c r="E445" s="269"/>
      <c r="H445" s="269"/>
      <c r="J445" s="269"/>
      <c r="K445" s="269"/>
      <c r="L445" s="269"/>
      <c r="M445" s="269"/>
      <c r="N445" s="269"/>
      <c r="O445" s="269"/>
    </row>
    <row r="446" spans="2:15" ht="9.75" customHeight="1" x14ac:dyDescent="0.2">
      <c r="B446" s="269"/>
      <c r="C446" s="269"/>
      <c r="E446" s="269"/>
      <c r="H446" s="269"/>
      <c r="J446" s="269"/>
      <c r="K446" s="269"/>
      <c r="L446" s="269"/>
      <c r="M446" s="269"/>
      <c r="N446" s="269"/>
      <c r="O446" s="269"/>
    </row>
    <row r="447" spans="2:15" ht="9.75" customHeight="1" x14ac:dyDescent="0.2">
      <c r="B447" s="269"/>
      <c r="C447" s="269"/>
      <c r="E447" s="269"/>
      <c r="H447" s="269"/>
      <c r="J447" s="269"/>
      <c r="K447" s="269"/>
      <c r="L447" s="269"/>
      <c r="M447" s="269"/>
      <c r="N447" s="269"/>
      <c r="O447" s="269"/>
    </row>
    <row r="448" spans="2:15" ht="9.75" customHeight="1" x14ac:dyDescent="0.2">
      <c r="B448" s="269"/>
      <c r="C448" s="269"/>
      <c r="E448" s="269"/>
      <c r="H448" s="269"/>
      <c r="J448" s="269"/>
      <c r="K448" s="269"/>
      <c r="L448" s="269"/>
      <c r="M448" s="269"/>
      <c r="N448" s="269"/>
      <c r="O448" s="269"/>
    </row>
    <row r="449" spans="2:15" ht="9.75" customHeight="1" x14ac:dyDescent="0.2">
      <c r="B449" s="269"/>
      <c r="C449" s="269"/>
      <c r="E449" s="269"/>
      <c r="H449" s="269"/>
      <c r="J449" s="269"/>
      <c r="K449" s="269"/>
      <c r="L449" s="269"/>
      <c r="M449" s="269"/>
      <c r="N449" s="269"/>
      <c r="O449" s="269"/>
    </row>
    <row r="450" spans="2:15" ht="9.75" customHeight="1" x14ac:dyDescent="0.2">
      <c r="B450" s="269"/>
      <c r="C450" s="269"/>
      <c r="E450" s="269"/>
      <c r="H450" s="269"/>
      <c r="J450" s="269"/>
      <c r="K450" s="269"/>
      <c r="L450" s="269"/>
      <c r="M450" s="269"/>
      <c r="N450" s="269"/>
      <c r="O450" s="269"/>
    </row>
    <row r="451" spans="2:15" ht="9.75" customHeight="1" x14ac:dyDescent="0.2">
      <c r="B451" s="269"/>
      <c r="C451" s="269"/>
      <c r="E451" s="269"/>
      <c r="H451" s="269"/>
      <c r="J451" s="269"/>
      <c r="K451" s="269"/>
      <c r="L451" s="269"/>
      <c r="M451" s="269"/>
      <c r="N451" s="269"/>
      <c r="O451" s="269"/>
    </row>
    <row r="452" spans="2:15" ht="9.75" customHeight="1" x14ac:dyDescent="0.2">
      <c r="B452" s="269"/>
      <c r="C452" s="269"/>
      <c r="E452" s="269"/>
      <c r="H452" s="269"/>
      <c r="J452" s="269"/>
      <c r="K452" s="269"/>
      <c r="L452" s="269"/>
      <c r="M452" s="269"/>
      <c r="N452" s="269"/>
      <c r="O452" s="269"/>
    </row>
    <row r="453" spans="2:15" ht="9.75" customHeight="1" x14ac:dyDescent="0.2">
      <c r="B453" s="269"/>
      <c r="C453" s="269"/>
      <c r="E453" s="269"/>
      <c r="H453" s="269"/>
      <c r="J453" s="269"/>
      <c r="K453" s="269"/>
      <c r="L453" s="269"/>
      <c r="M453" s="269"/>
      <c r="N453" s="269"/>
      <c r="O453" s="269"/>
    </row>
    <row r="454" spans="2:15" ht="9.75" customHeight="1" x14ac:dyDescent="0.2">
      <c r="B454" s="269"/>
      <c r="C454" s="269"/>
      <c r="E454" s="269"/>
      <c r="H454" s="269"/>
      <c r="J454" s="269"/>
      <c r="K454" s="269"/>
      <c r="L454" s="269"/>
      <c r="M454" s="269"/>
      <c r="N454" s="269"/>
      <c r="O454" s="269"/>
    </row>
    <row r="455" spans="2:15" ht="9.75" customHeight="1" x14ac:dyDescent="0.2">
      <c r="B455" s="269"/>
      <c r="C455" s="269"/>
      <c r="E455" s="269"/>
      <c r="H455" s="269"/>
      <c r="J455" s="269"/>
      <c r="K455" s="269"/>
      <c r="L455" s="269"/>
      <c r="M455" s="269"/>
      <c r="N455" s="269"/>
      <c r="O455" s="269"/>
    </row>
    <row r="456" spans="2:15" ht="9.75" customHeight="1" x14ac:dyDescent="0.2">
      <c r="B456" s="269"/>
      <c r="C456" s="269"/>
      <c r="E456" s="269"/>
      <c r="H456" s="269"/>
      <c r="J456" s="269"/>
      <c r="K456" s="269"/>
      <c r="L456" s="269"/>
      <c r="M456" s="269"/>
      <c r="N456" s="269"/>
      <c r="O456" s="269"/>
    </row>
    <row r="457" spans="2:15" ht="9.75" customHeight="1" x14ac:dyDescent="0.2">
      <c r="B457" s="269"/>
      <c r="C457" s="269"/>
      <c r="E457" s="269"/>
      <c r="H457" s="269"/>
      <c r="J457" s="269"/>
      <c r="K457" s="269"/>
      <c r="L457" s="269"/>
      <c r="M457" s="269"/>
      <c r="N457" s="269"/>
      <c r="O457" s="269"/>
    </row>
    <row r="458" spans="2:15" ht="9.75" customHeight="1" x14ac:dyDescent="0.2">
      <c r="B458" s="269"/>
      <c r="C458" s="269"/>
      <c r="E458" s="269"/>
      <c r="H458" s="269"/>
      <c r="J458" s="269"/>
      <c r="K458" s="269"/>
      <c r="L458" s="269"/>
      <c r="M458" s="269"/>
      <c r="N458" s="269"/>
      <c r="O458" s="269"/>
    </row>
    <row r="459" spans="2:15" ht="9.75" customHeight="1" x14ac:dyDescent="0.2">
      <c r="B459" s="269"/>
      <c r="C459" s="269"/>
      <c r="E459" s="269"/>
      <c r="H459" s="269"/>
      <c r="J459" s="269"/>
      <c r="K459" s="269"/>
      <c r="L459" s="269"/>
      <c r="M459" s="269"/>
      <c r="N459" s="269"/>
      <c r="O459" s="269"/>
    </row>
    <row r="460" spans="2:15" ht="9.75" customHeight="1" x14ac:dyDescent="0.2">
      <c r="B460" s="269"/>
      <c r="C460" s="269"/>
      <c r="E460" s="269"/>
      <c r="H460" s="269"/>
      <c r="J460" s="269"/>
      <c r="K460" s="269"/>
      <c r="L460" s="269"/>
      <c r="M460" s="269"/>
      <c r="N460" s="269"/>
      <c r="O460" s="269"/>
    </row>
    <row r="461" spans="2:15" ht="9.75" customHeight="1" x14ac:dyDescent="0.2">
      <c r="B461" s="269"/>
      <c r="C461" s="269"/>
      <c r="E461" s="269"/>
      <c r="H461" s="269"/>
      <c r="J461" s="269"/>
      <c r="K461" s="269"/>
      <c r="L461" s="269"/>
      <c r="M461" s="269"/>
      <c r="N461" s="269"/>
      <c r="O461" s="269"/>
    </row>
    <row r="462" spans="2:15" ht="9.75" customHeight="1" x14ac:dyDescent="0.2">
      <c r="B462" s="269"/>
      <c r="C462" s="269"/>
      <c r="E462" s="269"/>
      <c r="H462" s="269"/>
      <c r="J462" s="269"/>
      <c r="K462" s="269"/>
      <c r="L462" s="269"/>
      <c r="M462" s="269"/>
      <c r="N462" s="269"/>
      <c r="O462" s="269"/>
    </row>
    <row r="463" spans="2:15" ht="9.75" customHeight="1" x14ac:dyDescent="0.2">
      <c r="B463" s="269"/>
      <c r="C463" s="269"/>
      <c r="E463" s="269"/>
      <c r="H463" s="269"/>
      <c r="J463" s="269"/>
      <c r="K463" s="269"/>
      <c r="L463" s="269"/>
      <c r="M463" s="269"/>
      <c r="N463" s="269"/>
      <c r="O463" s="269"/>
    </row>
    <row r="464" spans="2:15" ht="9.75" customHeight="1" x14ac:dyDescent="0.2">
      <c r="B464" s="269"/>
      <c r="C464" s="269"/>
      <c r="E464" s="269"/>
      <c r="H464" s="269"/>
      <c r="J464" s="269"/>
      <c r="K464" s="269"/>
      <c r="L464" s="269"/>
      <c r="M464" s="269"/>
      <c r="N464" s="269"/>
      <c r="O464" s="269"/>
    </row>
    <row r="465" spans="2:15" ht="9.75" customHeight="1" x14ac:dyDescent="0.2">
      <c r="B465" s="269"/>
      <c r="C465" s="269"/>
      <c r="E465" s="269"/>
      <c r="H465" s="269"/>
      <c r="J465" s="269"/>
      <c r="K465" s="269"/>
      <c r="L465" s="269"/>
      <c r="M465" s="269"/>
      <c r="N465" s="269"/>
      <c r="O465" s="269"/>
    </row>
    <row r="466" spans="2:15" ht="9.75" customHeight="1" x14ac:dyDescent="0.2">
      <c r="B466" s="269"/>
      <c r="C466" s="269"/>
      <c r="E466" s="269"/>
      <c r="H466" s="269"/>
      <c r="J466" s="269"/>
      <c r="K466" s="269"/>
      <c r="L466" s="269"/>
      <c r="M466" s="269"/>
      <c r="N466" s="269"/>
      <c r="O466" s="269"/>
    </row>
    <row r="467" spans="2:15" ht="9.75" customHeight="1" x14ac:dyDescent="0.2">
      <c r="B467" s="269"/>
      <c r="C467" s="269"/>
      <c r="E467" s="269"/>
      <c r="H467" s="269"/>
      <c r="J467" s="269"/>
      <c r="K467" s="269"/>
      <c r="L467" s="269"/>
      <c r="M467" s="269"/>
      <c r="N467" s="269"/>
      <c r="O467" s="269"/>
    </row>
    <row r="468" spans="2:15" ht="9.75" customHeight="1" x14ac:dyDescent="0.2">
      <c r="B468" s="269"/>
      <c r="C468" s="269"/>
      <c r="E468" s="269"/>
      <c r="H468" s="269"/>
      <c r="J468" s="269"/>
      <c r="K468" s="269"/>
      <c r="L468" s="269"/>
      <c r="M468" s="269"/>
      <c r="N468" s="269"/>
      <c r="O468" s="269"/>
    </row>
    <row r="469" spans="2:15" ht="9.75" customHeight="1" x14ac:dyDescent="0.2">
      <c r="B469" s="269"/>
      <c r="C469" s="269"/>
      <c r="E469" s="269"/>
      <c r="H469" s="269"/>
      <c r="J469" s="269"/>
      <c r="K469" s="269"/>
      <c r="L469" s="269"/>
      <c r="M469" s="269"/>
      <c r="N469" s="269"/>
      <c r="O469" s="269"/>
    </row>
    <row r="470" spans="2:15" ht="9.75" customHeight="1" x14ac:dyDescent="0.2">
      <c r="B470" s="269"/>
      <c r="C470" s="269"/>
      <c r="E470" s="269"/>
      <c r="H470" s="269"/>
      <c r="J470" s="269"/>
      <c r="K470" s="269"/>
      <c r="L470" s="269"/>
      <c r="M470" s="269"/>
      <c r="N470" s="269"/>
      <c r="O470" s="269"/>
    </row>
    <row r="471" spans="2:15" ht="9.75" customHeight="1" x14ac:dyDescent="0.2">
      <c r="B471" s="269"/>
      <c r="C471" s="269"/>
      <c r="E471" s="269"/>
      <c r="H471" s="269"/>
      <c r="J471" s="269"/>
      <c r="K471" s="269"/>
      <c r="L471" s="269"/>
      <c r="M471" s="269"/>
      <c r="N471" s="269"/>
      <c r="O471" s="269"/>
    </row>
    <row r="472" spans="2:15" ht="9.75" customHeight="1" x14ac:dyDescent="0.2">
      <c r="B472" s="269"/>
      <c r="C472" s="269"/>
      <c r="E472" s="269"/>
      <c r="H472" s="269"/>
      <c r="J472" s="269"/>
      <c r="K472" s="269"/>
      <c r="L472" s="269"/>
      <c r="M472" s="269"/>
      <c r="N472" s="269"/>
      <c r="O472" s="269"/>
    </row>
    <row r="473" spans="2:15" ht="9.75" customHeight="1" x14ac:dyDescent="0.2">
      <c r="B473" s="269"/>
      <c r="C473" s="269"/>
      <c r="E473" s="269"/>
      <c r="H473" s="269"/>
      <c r="J473" s="269"/>
      <c r="K473" s="269"/>
      <c r="L473" s="269"/>
      <c r="M473" s="269"/>
      <c r="N473" s="269"/>
      <c r="O473" s="269"/>
    </row>
    <row r="474" spans="2:15" ht="9.75" customHeight="1" x14ac:dyDescent="0.2">
      <c r="B474" s="269"/>
      <c r="C474" s="269"/>
      <c r="E474" s="269"/>
      <c r="H474" s="269"/>
      <c r="J474" s="269"/>
      <c r="K474" s="269"/>
      <c r="L474" s="269"/>
      <c r="M474" s="269"/>
      <c r="N474" s="269"/>
      <c r="O474" s="269"/>
    </row>
    <row r="475" spans="2:15" ht="9.75" customHeight="1" x14ac:dyDescent="0.2">
      <c r="B475" s="269"/>
      <c r="C475" s="269"/>
      <c r="E475" s="269"/>
      <c r="H475" s="269"/>
      <c r="J475" s="269"/>
      <c r="K475" s="269"/>
      <c r="L475" s="269"/>
      <c r="M475" s="269"/>
      <c r="N475" s="269"/>
      <c r="O475" s="269"/>
    </row>
    <row r="476" spans="2:15" ht="9.75" customHeight="1" x14ac:dyDescent="0.2">
      <c r="B476" s="269"/>
      <c r="C476" s="269"/>
      <c r="E476" s="269"/>
      <c r="H476" s="269"/>
      <c r="J476" s="269"/>
      <c r="K476" s="269"/>
      <c r="L476" s="269"/>
      <c r="M476" s="269"/>
      <c r="N476" s="269"/>
      <c r="O476" s="269"/>
    </row>
    <row r="477" spans="2:15" ht="9.75" customHeight="1" x14ac:dyDescent="0.2">
      <c r="B477" s="269"/>
      <c r="C477" s="269"/>
      <c r="E477" s="269"/>
      <c r="H477" s="269"/>
      <c r="J477" s="269"/>
      <c r="K477" s="269"/>
      <c r="L477" s="269"/>
      <c r="M477" s="269"/>
      <c r="N477" s="269"/>
      <c r="O477" s="269"/>
    </row>
    <row r="478" spans="2:15" ht="9.75" customHeight="1" x14ac:dyDescent="0.2">
      <c r="B478" s="269"/>
      <c r="C478" s="269"/>
      <c r="E478" s="269"/>
      <c r="H478" s="269"/>
      <c r="J478" s="269"/>
      <c r="K478" s="269"/>
      <c r="L478" s="269"/>
      <c r="M478" s="269"/>
      <c r="N478" s="269"/>
      <c r="O478" s="269"/>
    </row>
    <row r="479" spans="2:15" ht="9.75" customHeight="1" x14ac:dyDescent="0.2">
      <c r="B479" s="269"/>
      <c r="C479" s="269"/>
      <c r="E479" s="269"/>
      <c r="H479" s="269"/>
      <c r="J479" s="269"/>
      <c r="K479" s="269"/>
      <c r="L479" s="269"/>
      <c r="M479" s="269"/>
      <c r="N479" s="269"/>
      <c r="O479" s="269"/>
    </row>
    <row r="480" spans="2:15" ht="9.75" customHeight="1" x14ac:dyDescent="0.2">
      <c r="B480" s="269"/>
      <c r="C480" s="269"/>
      <c r="E480" s="269"/>
      <c r="H480" s="269"/>
      <c r="J480" s="269"/>
      <c r="K480" s="269"/>
      <c r="L480" s="269"/>
      <c r="M480" s="269"/>
      <c r="N480" s="269"/>
      <c r="O480" s="269"/>
    </row>
    <row r="481" spans="2:15" ht="9.75" customHeight="1" x14ac:dyDescent="0.2">
      <c r="B481" s="269"/>
      <c r="C481" s="269"/>
      <c r="E481" s="269"/>
      <c r="H481" s="269"/>
      <c r="J481" s="269"/>
      <c r="K481" s="269"/>
      <c r="L481" s="269"/>
      <c r="M481" s="269"/>
      <c r="N481" s="269"/>
      <c r="O481" s="269"/>
    </row>
    <row r="482" spans="2:15" ht="9.75" customHeight="1" x14ac:dyDescent="0.2">
      <c r="B482" s="269"/>
      <c r="C482" s="269"/>
      <c r="E482" s="269"/>
      <c r="H482" s="269"/>
      <c r="J482" s="269"/>
      <c r="K482" s="269"/>
      <c r="L482" s="269"/>
      <c r="M482" s="269"/>
      <c r="N482" s="269"/>
      <c r="O482" s="269"/>
    </row>
    <row r="483" spans="2:15" ht="9.75" customHeight="1" x14ac:dyDescent="0.2">
      <c r="B483" s="269"/>
      <c r="C483" s="269"/>
      <c r="E483" s="269"/>
      <c r="H483" s="269"/>
      <c r="J483" s="269"/>
      <c r="K483" s="269"/>
      <c r="L483" s="269"/>
      <c r="M483" s="269"/>
      <c r="N483" s="269"/>
      <c r="O483" s="269"/>
    </row>
    <row r="484" spans="2:15" ht="9.75" customHeight="1" x14ac:dyDescent="0.2">
      <c r="B484" s="269"/>
      <c r="C484" s="269"/>
      <c r="E484" s="269"/>
      <c r="H484" s="269"/>
      <c r="J484" s="269"/>
      <c r="K484" s="269"/>
      <c r="L484" s="269"/>
      <c r="M484" s="269"/>
      <c r="N484" s="269"/>
      <c r="O484" s="269"/>
    </row>
    <row r="485" spans="2:15" ht="9.75" customHeight="1" x14ac:dyDescent="0.2">
      <c r="B485" s="269"/>
      <c r="C485" s="269"/>
      <c r="E485" s="269"/>
      <c r="H485" s="269"/>
      <c r="J485" s="269"/>
      <c r="K485" s="269"/>
      <c r="L485" s="269"/>
      <c r="M485" s="269"/>
      <c r="N485" s="269"/>
      <c r="O485" s="269"/>
    </row>
    <row r="486" spans="2:15" ht="9.75" customHeight="1" x14ac:dyDescent="0.2">
      <c r="B486" s="269"/>
      <c r="C486" s="269"/>
      <c r="E486" s="269"/>
      <c r="H486" s="269"/>
      <c r="J486" s="269"/>
      <c r="K486" s="269"/>
      <c r="L486" s="269"/>
      <c r="M486" s="269"/>
      <c r="N486" s="269"/>
      <c r="O486" s="269"/>
    </row>
    <row r="487" spans="2:15" ht="9.75" customHeight="1" x14ac:dyDescent="0.2">
      <c r="B487" s="269"/>
      <c r="C487" s="269"/>
      <c r="E487" s="269"/>
      <c r="H487" s="269"/>
      <c r="J487" s="269"/>
      <c r="K487" s="269"/>
      <c r="L487" s="269"/>
      <c r="M487" s="269"/>
      <c r="N487" s="269"/>
      <c r="O487" s="269"/>
    </row>
    <row r="488" spans="2:15" ht="9.75" customHeight="1" x14ac:dyDescent="0.2">
      <c r="B488" s="269"/>
      <c r="C488" s="269"/>
      <c r="E488" s="269"/>
      <c r="H488" s="269"/>
      <c r="J488" s="269"/>
      <c r="K488" s="269"/>
      <c r="L488" s="269"/>
      <c r="M488" s="269"/>
      <c r="N488" s="269"/>
      <c r="O488" s="269"/>
    </row>
    <row r="489" spans="2:15" ht="9.75" customHeight="1" x14ac:dyDescent="0.2">
      <c r="B489" s="269"/>
      <c r="C489" s="269"/>
      <c r="E489" s="269"/>
      <c r="H489" s="269"/>
      <c r="J489" s="269"/>
      <c r="K489" s="269"/>
      <c r="L489" s="269"/>
      <c r="M489" s="269"/>
      <c r="N489" s="269"/>
      <c r="O489" s="269"/>
    </row>
    <row r="490" spans="2:15" ht="9.75" customHeight="1" x14ac:dyDescent="0.2">
      <c r="B490" s="269"/>
      <c r="C490" s="269"/>
      <c r="E490" s="269"/>
      <c r="H490" s="269"/>
      <c r="J490" s="269"/>
      <c r="K490" s="269"/>
      <c r="L490" s="269"/>
      <c r="M490" s="269"/>
      <c r="N490" s="269"/>
      <c r="O490" s="269"/>
    </row>
    <row r="491" spans="2:15" ht="9.75" customHeight="1" x14ac:dyDescent="0.2">
      <c r="B491" s="269"/>
      <c r="C491" s="269"/>
      <c r="E491" s="269"/>
      <c r="H491" s="269"/>
      <c r="J491" s="269"/>
      <c r="K491" s="269"/>
      <c r="L491" s="269"/>
      <c r="M491" s="269"/>
      <c r="N491" s="269"/>
      <c r="O491" s="269"/>
    </row>
    <row r="492" spans="2:15" ht="9.75" customHeight="1" x14ac:dyDescent="0.2">
      <c r="B492" s="269"/>
      <c r="C492" s="269"/>
      <c r="E492" s="269"/>
      <c r="H492" s="269"/>
      <c r="J492" s="269"/>
      <c r="K492" s="269"/>
      <c r="L492" s="269"/>
      <c r="M492" s="269"/>
      <c r="N492" s="269"/>
      <c r="O492" s="269"/>
    </row>
    <row r="493" spans="2:15" ht="9.75" customHeight="1" x14ac:dyDescent="0.2">
      <c r="B493" s="269"/>
      <c r="C493" s="269"/>
      <c r="E493" s="269"/>
      <c r="H493" s="269"/>
      <c r="J493" s="269"/>
      <c r="K493" s="269"/>
      <c r="L493" s="269"/>
      <c r="M493" s="269"/>
      <c r="N493" s="269"/>
      <c r="O493" s="269"/>
    </row>
    <row r="494" spans="2:15" ht="9.75" customHeight="1" x14ac:dyDescent="0.2">
      <c r="B494" s="269"/>
      <c r="C494" s="269"/>
      <c r="E494" s="269"/>
      <c r="H494" s="269"/>
      <c r="J494" s="269"/>
      <c r="K494" s="269"/>
      <c r="L494" s="269"/>
      <c r="M494" s="269"/>
      <c r="N494" s="269"/>
      <c r="O494" s="269"/>
    </row>
    <row r="495" spans="2:15" ht="9.75" customHeight="1" x14ac:dyDescent="0.2">
      <c r="B495" s="269"/>
      <c r="C495" s="269"/>
      <c r="E495" s="269"/>
      <c r="H495" s="269"/>
      <c r="J495" s="269"/>
      <c r="K495" s="269"/>
      <c r="L495" s="269"/>
      <c r="M495" s="269"/>
      <c r="N495" s="269"/>
      <c r="O495" s="269"/>
    </row>
    <row r="496" spans="2:15" ht="9.75" customHeight="1" x14ac:dyDescent="0.2">
      <c r="B496" s="269"/>
      <c r="C496" s="269"/>
      <c r="E496" s="269"/>
      <c r="H496" s="269"/>
      <c r="J496" s="269"/>
      <c r="K496" s="269"/>
      <c r="L496" s="269"/>
      <c r="M496" s="269"/>
      <c r="N496" s="269"/>
      <c r="O496" s="269"/>
    </row>
    <row r="497" spans="2:15" ht="9.75" customHeight="1" x14ac:dyDescent="0.2">
      <c r="B497" s="269"/>
      <c r="C497" s="269"/>
      <c r="E497" s="269"/>
      <c r="H497" s="269"/>
      <c r="J497" s="269"/>
      <c r="K497" s="269"/>
      <c r="L497" s="269"/>
      <c r="M497" s="269"/>
      <c r="N497" s="269"/>
      <c r="O497" s="269"/>
    </row>
    <row r="498" spans="2:15" ht="9.75" customHeight="1" x14ac:dyDescent="0.2">
      <c r="B498" s="269"/>
      <c r="C498" s="269"/>
      <c r="E498" s="269"/>
      <c r="H498" s="269"/>
      <c r="J498" s="269"/>
      <c r="K498" s="269"/>
      <c r="L498" s="269"/>
      <c r="M498" s="269"/>
      <c r="N498" s="269"/>
      <c r="O498" s="269"/>
    </row>
    <row r="499" spans="2:15" ht="9.75" customHeight="1" x14ac:dyDescent="0.2">
      <c r="B499" s="269"/>
      <c r="C499" s="269"/>
      <c r="E499" s="269"/>
      <c r="H499" s="269"/>
      <c r="J499" s="269"/>
      <c r="K499" s="269"/>
      <c r="L499" s="269"/>
      <c r="M499" s="269"/>
      <c r="N499" s="269"/>
      <c r="O499" s="269"/>
    </row>
    <row r="500" spans="2:15" ht="9.75" customHeight="1" x14ac:dyDescent="0.2">
      <c r="B500" s="269"/>
      <c r="C500" s="269"/>
      <c r="E500" s="269"/>
      <c r="H500" s="269"/>
      <c r="J500" s="269"/>
      <c r="K500" s="269"/>
      <c r="L500" s="269"/>
      <c r="M500" s="269"/>
      <c r="N500" s="269"/>
      <c r="O500" s="269"/>
    </row>
    <row r="501" spans="2:15" ht="9.75" customHeight="1" x14ac:dyDescent="0.2">
      <c r="B501" s="269"/>
      <c r="C501" s="269"/>
      <c r="E501" s="269"/>
      <c r="H501" s="269"/>
      <c r="J501" s="269"/>
      <c r="K501" s="269"/>
      <c r="L501" s="269"/>
      <c r="M501" s="269"/>
      <c r="N501" s="269"/>
      <c r="O501" s="269"/>
    </row>
    <row r="502" spans="2:15" ht="9.75" customHeight="1" x14ac:dyDescent="0.2">
      <c r="B502" s="269"/>
      <c r="C502" s="269"/>
      <c r="E502" s="269"/>
      <c r="H502" s="269"/>
      <c r="J502" s="269"/>
      <c r="K502" s="269"/>
      <c r="L502" s="269"/>
      <c r="M502" s="269"/>
      <c r="N502" s="269"/>
      <c r="O502" s="269"/>
    </row>
    <row r="503" spans="2:15" ht="9.75" customHeight="1" x14ac:dyDescent="0.2">
      <c r="B503" s="269"/>
      <c r="C503" s="269"/>
      <c r="E503" s="269"/>
      <c r="H503" s="269"/>
      <c r="J503" s="269"/>
      <c r="K503" s="269"/>
      <c r="L503" s="269"/>
      <c r="M503" s="269"/>
      <c r="N503" s="269"/>
      <c r="O503" s="269"/>
    </row>
    <row r="504" spans="2:15" ht="9.75" customHeight="1" x14ac:dyDescent="0.2">
      <c r="B504" s="269"/>
      <c r="C504" s="269"/>
      <c r="E504" s="269"/>
      <c r="H504" s="269"/>
      <c r="J504" s="269"/>
      <c r="K504" s="269"/>
      <c r="L504" s="269"/>
      <c r="M504" s="269"/>
      <c r="N504" s="269"/>
      <c r="O504" s="269"/>
    </row>
    <row r="505" spans="2:15" ht="9.75" customHeight="1" x14ac:dyDescent="0.2">
      <c r="B505" s="269"/>
      <c r="C505" s="269"/>
      <c r="E505" s="269"/>
      <c r="H505" s="269"/>
      <c r="J505" s="269"/>
      <c r="K505" s="269"/>
      <c r="L505" s="269"/>
      <c r="M505" s="269"/>
      <c r="N505" s="269"/>
      <c r="O505" s="269"/>
    </row>
    <row r="506" spans="2:15" ht="9.75" customHeight="1" x14ac:dyDescent="0.2">
      <c r="B506" s="269"/>
      <c r="C506" s="269"/>
      <c r="E506" s="269"/>
      <c r="H506" s="269"/>
      <c r="J506" s="269"/>
      <c r="K506" s="269"/>
      <c r="L506" s="269"/>
      <c r="M506" s="269"/>
      <c r="N506" s="269"/>
      <c r="O506" s="269"/>
    </row>
    <row r="507" spans="2:15" ht="9.75" customHeight="1" x14ac:dyDescent="0.2">
      <c r="B507" s="269"/>
      <c r="C507" s="269"/>
      <c r="E507" s="269"/>
      <c r="H507" s="269"/>
      <c r="J507" s="269"/>
      <c r="K507" s="269"/>
      <c r="L507" s="269"/>
      <c r="M507" s="269"/>
      <c r="N507" s="269"/>
      <c r="O507" s="269"/>
    </row>
    <row r="508" spans="2:15" ht="9.75" customHeight="1" x14ac:dyDescent="0.2">
      <c r="B508" s="269"/>
      <c r="C508" s="269"/>
      <c r="E508" s="269"/>
      <c r="H508" s="269"/>
      <c r="J508" s="269"/>
      <c r="K508" s="269"/>
      <c r="L508" s="269"/>
      <c r="M508" s="269"/>
      <c r="N508" s="269"/>
      <c r="O508" s="269"/>
    </row>
    <row r="509" spans="2:15" ht="9.75" customHeight="1" x14ac:dyDescent="0.2">
      <c r="B509" s="269"/>
      <c r="C509" s="269"/>
      <c r="E509" s="269"/>
      <c r="H509" s="269"/>
      <c r="J509" s="269"/>
      <c r="K509" s="269"/>
      <c r="L509" s="269"/>
      <c r="M509" s="269"/>
      <c r="N509" s="269"/>
      <c r="O509" s="269"/>
    </row>
    <row r="510" spans="2:15" ht="9.75" customHeight="1" x14ac:dyDescent="0.2">
      <c r="B510" s="269"/>
      <c r="C510" s="269"/>
      <c r="E510" s="269"/>
      <c r="H510" s="269"/>
      <c r="J510" s="269"/>
      <c r="K510" s="269"/>
      <c r="L510" s="269"/>
      <c r="M510" s="269"/>
      <c r="N510" s="269"/>
      <c r="O510" s="269"/>
    </row>
    <row r="511" spans="2:15" ht="9.75" customHeight="1" x14ac:dyDescent="0.2">
      <c r="B511" s="269"/>
      <c r="C511" s="269"/>
      <c r="E511" s="269"/>
      <c r="H511" s="269"/>
      <c r="J511" s="269"/>
      <c r="K511" s="269"/>
      <c r="L511" s="269"/>
      <c r="M511" s="269"/>
      <c r="N511" s="269"/>
      <c r="O511" s="269"/>
    </row>
    <row r="512" spans="2:15" ht="9.75" customHeight="1" x14ac:dyDescent="0.2">
      <c r="B512" s="269"/>
      <c r="C512" s="269"/>
      <c r="E512" s="269"/>
      <c r="H512" s="269"/>
      <c r="J512" s="269"/>
      <c r="K512" s="269"/>
      <c r="L512" s="269"/>
      <c r="M512" s="269"/>
      <c r="N512" s="269"/>
      <c r="O512" s="269"/>
    </row>
    <row r="513" spans="2:15" ht="9.75" customHeight="1" x14ac:dyDescent="0.2">
      <c r="B513" s="269"/>
      <c r="C513" s="269"/>
      <c r="E513" s="269"/>
      <c r="H513" s="269"/>
      <c r="J513" s="269"/>
      <c r="K513" s="269"/>
      <c r="L513" s="269"/>
      <c r="M513" s="269"/>
      <c r="N513" s="269"/>
      <c r="O513" s="269"/>
    </row>
    <row r="514" spans="2:15" ht="9.75" customHeight="1" x14ac:dyDescent="0.2">
      <c r="B514" s="269"/>
      <c r="C514" s="269"/>
      <c r="E514" s="269"/>
      <c r="H514" s="269"/>
      <c r="J514" s="269"/>
      <c r="K514" s="269"/>
      <c r="L514" s="269"/>
      <c r="M514" s="269"/>
      <c r="N514" s="269"/>
      <c r="O514" s="269"/>
    </row>
    <row r="515" spans="2:15" ht="9.75" customHeight="1" x14ac:dyDescent="0.2">
      <c r="B515" s="269"/>
      <c r="C515" s="269"/>
      <c r="E515" s="269"/>
      <c r="H515" s="269"/>
      <c r="J515" s="269"/>
      <c r="K515" s="269"/>
      <c r="L515" s="269"/>
      <c r="M515" s="269"/>
      <c r="N515" s="269"/>
      <c r="O515" s="269"/>
    </row>
    <row r="516" spans="2:15" ht="9.75" customHeight="1" x14ac:dyDescent="0.2">
      <c r="B516" s="269"/>
      <c r="C516" s="269"/>
      <c r="E516" s="269"/>
      <c r="H516" s="269"/>
      <c r="J516" s="269"/>
      <c r="K516" s="269"/>
      <c r="L516" s="269"/>
      <c r="M516" s="269"/>
      <c r="N516" s="269"/>
      <c r="O516" s="269"/>
    </row>
    <row r="517" spans="2:15" ht="9.75" customHeight="1" x14ac:dyDescent="0.2">
      <c r="B517" s="269"/>
      <c r="C517" s="269"/>
      <c r="E517" s="269"/>
      <c r="H517" s="269"/>
      <c r="J517" s="269"/>
      <c r="K517" s="269"/>
      <c r="L517" s="269"/>
      <c r="M517" s="269"/>
      <c r="N517" s="269"/>
      <c r="O517" s="269"/>
    </row>
    <row r="518" spans="2:15" ht="9.75" customHeight="1" x14ac:dyDescent="0.2">
      <c r="B518" s="269"/>
      <c r="C518" s="269"/>
      <c r="E518" s="269"/>
      <c r="H518" s="269"/>
      <c r="J518" s="269"/>
      <c r="K518" s="269"/>
      <c r="L518" s="269"/>
      <c r="M518" s="269"/>
      <c r="N518" s="269"/>
      <c r="O518" s="269"/>
    </row>
    <row r="519" spans="2:15" ht="9.75" customHeight="1" x14ac:dyDescent="0.2">
      <c r="B519" s="269"/>
      <c r="C519" s="269"/>
      <c r="E519" s="269"/>
      <c r="H519" s="269"/>
      <c r="J519" s="269"/>
      <c r="K519" s="269"/>
      <c r="L519" s="269"/>
      <c r="M519" s="269"/>
      <c r="N519" s="269"/>
      <c r="O519" s="269"/>
    </row>
    <row r="520" spans="2:15" ht="9.75" customHeight="1" x14ac:dyDescent="0.2">
      <c r="B520" s="269"/>
      <c r="C520" s="269"/>
      <c r="E520" s="269"/>
      <c r="H520" s="269"/>
      <c r="J520" s="269"/>
      <c r="K520" s="269"/>
      <c r="L520" s="269"/>
      <c r="M520" s="269"/>
      <c r="N520" s="269"/>
      <c r="O520" s="269"/>
    </row>
    <row r="521" spans="2:15" ht="9.75" customHeight="1" x14ac:dyDescent="0.2">
      <c r="B521" s="269"/>
      <c r="C521" s="269"/>
      <c r="E521" s="269"/>
      <c r="H521" s="269"/>
      <c r="J521" s="269"/>
      <c r="K521" s="269"/>
      <c r="L521" s="269"/>
      <c r="M521" s="269"/>
      <c r="N521" s="269"/>
      <c r="O521" s="269"/>
    </row>
    <row r="522" spans="2:15" ht="9.75" customHeight="1" x14ac:dyDescent="0.2">
      <c r="B522" s="269"/>
      <c r="C522" s="269"/>
      <c r="E522" s="269"/>
      <c r="H522" s="269"/>
      <c r="J522" s="269"/>
      <c r="K522" s="269"/>
      <c r="L522" s="269"/>
      <c r="M522" s="269"/>
      <c r="N522" s="269"/>
      <c r="O522" s="269"/>
    </row>
    <row r="523" spans="2:15" ht="9.75" customHeight="1" x14ac:dyDescent="0.2">
      <c r="B523" s="269"/>
      <c r="C523" s="269"/>
      <c r="E523" s="269"/>
      <c r="H523" s="269"/>
      <c r="J523" s="269"/>
      <c r="K523" s="269"/>
      <c r="L523" s="269"/>
      <c r="M523" s="269"/>
      <c r="N523" s="269"/>
      <c r="O523" s="269"/>
    </row>
    <row r="524" spans="2:15" ht="9.75" customHeight="1" x14ac:dyDescent="0.2">
      <c r="B524" s="269"/>
      <c r="C524" s="269"/>
      <c r="E524" s="269"/>
      <c r="H524" s="269"/>
      <c r="J524" s="269"/>
      <c r="K524" s="269"/>
      <c r="L524" s="269"/>
      <c r="M524" s="269"/>
      <c r="N524" s="269"/>
      <c r="O524" s="269"/>
    </row>
    <row r="525" spans="2:15" ht="9.75" customHeight="1" x14ac:dyDescent="0.2">
      <c r="B525" s="269"/>
      <c r="C525" s="269"/>
      <c r="E525" s="269"/>
      <c r="H525" s="269"/>
      <c r="J525" s="269"/>
      <c r="K525" s="269"/>
      <c r="L525" s="269"/>
      <c r="M525" s="269"/>
      <c r="N525" s="269"/>
      <c r="O525" s="269"/>
    </row>
    <row r="526" spans="2:15" ht="9.75" customHeight="1" x14ac:dyDescent="0.2">
      <c r="B526" s="269"/>
      <c r="C526" s="269"/>
      <c r="E526" s="269"/>
      <c r="H526" s="269"/>
      <c r="J526" s="269"/>
      <c r="K526" s="269"/>
      <c r="L526" s="269"/>
      <c r="M526" s="269"/>
      <c r="N526" s="269"/>
      <c r="O526" s="269"/>
    </row>
    <row r="527" spans="2:15" ht="9.75" customHeight="1" x14ac:dyDescent="0.2">
      <c r="B527" s="269"/>
      <c r="C527" s="269"/>
      <c r="E527" s="269"/>
      <c r="H527" s="269"/>
      <c r="J527" s="269"/>
      <c r="K527" s="269"/>
      <c r="L527" s="269"/>
      <c r="M527" s="269"/>
      <c r="N527" s="269"/>
      <c r="O527" s="269"/>
    </row>
    <row r="528" spans="2:15" ht="9.75" customHeight="1" x14ac:dyDescent="0.2">
      <c r="B528" s="269"/>
      <c r="C528" s="269"/>
      <c r="E528" s="269"/>
      <c r="H528" s="269"/>
      <c r="J528" s="269"/>
      <c r="K528" s="269"/>
      <c r="L528" s="269"/>
      <c r="M528" s="269"/>
      <c r="N528" s="269"/>
      <c r="O528" s="269"/>
    </row>
    <row r="529" spans="2:15" ht="9.75" customHeight="1" x14ac:dyDescent="0.2">
      <c r="B529" s="269"/>
      <c r="C529" s="269"/>
      <c r="E529" s="269"/>
      <c r="H529" s="269"/>
      <c r="J529" s="269"/>
      <c r="K529" s="269"/>
      <c r="L529" s="269"/>
      <c r="M529" s="269"/>
      <c r="N529" s="269"/>
      <c r="O529" s="269"/>
    </row>
    <row r="530" spans="2:15" ht="9.75" customHeight="1" x14ac:dyDescent="0.2">
      <c r="B530" s="269"/>
      <c r="C530" s="269"/>
      <c r="E530" s="269"/>
      <c r="H530" s="269"/>
      <c r="J530" s="269"/>
      <c r="K530" s="269"/>
      <c r="L530" s="269"/>
      <c r="M530" s="269"/>
      <c r="N530" s="269"/>
      <c r="O530" s="269"/>
    </row>
    <row r="531" spans="2:15" ht="9.75" customHeight="1" x14ac:dyDescent="0.2">
      <c r="B531" s="269"/>
      <c r="C531" s="269"/>
      <c r="E531" s="269"/>
      <c r="H531" s="269"/>
      <c r="J531" s="269"/>
      <c r="K531" s="269"/>
      <c r="L531" s="269"/>
      <c r="M531" s="269"/>
      <c r="N531" s="269"/>
      <c r="O531" s="269"/>
    </row>
    <row r="532" spans="2:15" ht="9.75" customHeight="1" x14ac:dyDescent="0.2">
      <c r="B532" s="269"/>
      <c r="C532" s="269"/>
      <c r="E532" s="269"/>
      <c r="H532" s="269"/>
      <c r="J532" s="269"/>
      <c r="K532" s="269"/>
      <c r="L532" s="269"/>
      <c r="M532" s="269"/>
      <c r="N532" s="269"/>
      <c r="O532" s="269"/>
    </row>
    <row r="533" spans="2:15" ht="9.75" customHeight="1" x14ac:dyDescent="0.2">
      <c r="B533" s="269"/>
      <c r="C533" s="269"/>
      <c r="E533" s="269"/>
      <c r="H533" s="269"/>
      <c r="J533" s="269"/>
      <c r="K533" s="269"/>
      <c r="L533" s="269"/>
      <c r="M533" s="269"/>
      <c r="N533" s="269"/>
      <c r="O533" s="269"/>
    </row>
  </sheetData>
  <mergeCells count="115">
    <mergeCell ref="B61:E61"/>
    <mergeCell ref="B62:E62"/>
    <mergeCell ref="B63:E63"/>
    <mergeCell ref="B64:E64"/>
    <mergeCell ref="B65:E65"/>
    <mergeCell ref="I67:M67"/>
    <mergeCell ref="K55:M57"/>
    <mergeCell ref="N55:O57"/>
    <mergeCell ref="B57:C57"/>
    <mergeCell ref="B58:C58"/>
    <mergeCell ref="D58:P58"/>
    <mergeCell ref="F59:J60"/>
    <mergeCell ref="K59:O60"/>
    <mergeCell ref="K52:M54"/>
    <mergeCell ref="N52:O54"/>
    <mergeCell ref="B49:C50"/>
    <mergeCell ref="D49:D50"/>
    <mergeCell ref="K49:M51"/>
    <mergeCell ref="N49:O51"/>
    <mergeCell ref="E50:E51"/>
    <mergeCell ref="F50:G51"/>
    <mergeCell ref="H50:I51"/>
    <mergeCell ref="J50:J51"/>
    <mergeCell ref="B51:C52"/>
    <mergeCell ref="D51:D52"/>
    <mergeCell ref="B53:C54"/>
    <mergeCell ref="D53:D54"/>
    <mergeCell ref="E54:E55"/>
    <mergeCell ref="F54:G55"/>
    <mergeCell ref="H54:I55"/>
    <mergeCell ref="J54:J55"/>
    <mergeCell ref="B55:C56"/>
    <mergeCell ref="D55:D56"/>
    <mergeCell ref="E52:E53"/>
    <mergeCell ref="F52:G53"/>
    <mergeCell ref="H52:I53"/>
    <mergeCell ref="J52:J53"/>
    <mergeCell ref="H46:I47"/>
    <mergeCell ref="J46:J47"/>
    <mergeCell ref="K46:M48"/>
    <mergeCell ref="N46:O48"/>
    <mergeCell ref="B47:C48"/>
    <mergeCell ref="D47:D48"/>
    <mergeCell ref="E48:E49"/>
    <mergeCell ref="F48:G49"/>
    <mergeCell ref="H48:I49"/>
    <mergeCell ref="J48:J49"/>
    <mergeCell ref="C43:D43"/>
    <mergeCell ref="C44:D44"/>
    <mergeCell ref="A45:B45"/>
    <mergeCell ref="D45:E45"/>
    <mergeCell ref="F45:G45"/>
    <mergeCell ref="E46:E47"/>
    <mergeCell ref="F46:G47"/>
    <mergeCell ref="C37:D37"/>
    <mergeCell ref="C38:D38"/>
    <mergeCell ref="C39:D39"/>
    <mergeCell ref="C40:D40"/>
    <mergeCell ref="C41:D41"/>
    <mergeCell ref="C42:D42"/>
    <mergeCell ref="C31:D31"/>
    <mergeCell ref="C32:D32"/>
    <mergeCell ref="C33:D33"/>
    <mergeCell ref="C34:D34"/>
    <mergeCell ref="C35:D35"/>
    <mergeCell ref="C36:D36"/>
    <mergeCell ref="C25:D25"/>
    <mergeCell ref="C26:D26"/>
    <mergeCell ref="C27:D27"/>
    <mergeCell ref="C28:D28"/>
    <mergeCell ref="C29:D29"/>
    <mergeCell ref="C30:D30"/>
    <mergeCell ref="C19:D19"/>
    <mergeCell ref="C20:D20"/>
    <mergeCell ref="C21:D21"/>
    <mergeCell ref="C22:D22"/>
    <mergeCell ref="C23:D23"/>
    <mergeCell ref="C24:D24"/>
    <mergeCell ref="H17:H18"/>
    <mergeCell ref="I17:I18"/>
    <mergeCell ref="J17:J18"/>
    <mergeCell ref="K17:L17"/>
    <mergeCell ref="M17:N17"/>
    <mergeCell ref="O17:P18"/>
    <mergeCell ref="A17:A18"/>
    <mergeCell ref="B17:B18"/>
    <mergeCell ref="C17:D18"/>
    <mergeCell ref="E17:E18"/>
    <mergeCell ref="F17:F18"/>
    <mergeCell ref="G17:G18"/>
    <mergeCell ref="B14:C14"/>
    <mergeCell ref="D14:I14"/>
    <mergeCell ref="B15:C15"/>
    <mergeCell ref="D15:I15"/>
    <mergeCell ref="B16:C16"/>
    <mergeCell ref="D16:I16"/>
    <mergeCell ref="B12:C12"/>
    <mergeCell ref="D12:I12"/>
    <mergeCell ref="K12:M12"/>
    <mergeCell ref="E1:I2"/>
    <mergeCell ref="K1:P2"/>
    <mergeCell ref="A3:P4"/>
    <mergeCell ref="A5:P5"/>
    <mergeCell ref="A6:P6"/>
    <mergeCell ref="A7:P7"/>
    <mergeCell ref="N12:O12"/>
    <mergeCell ref="B13:C13"/>
    <mergeCell ref="D13:I13"/>
    <mergeCell ref="B9:D9"/>
    <mergeCell ref="K9:M9"/>
    <mergeCell ref="N9:O9"/>
    <mergeCell ref="B11:C11"/>
    <mergeCell ref="D11:I11"/>
    <mergeCell ref="K11:M11"/>
    <mergeCell ref="N11:O11"/>
  </mergeCells>
  <pageMargins left="0.47244094488188981" right="0" top="0.47244094488188981" bottom="0" header="0" footer="0"/>
  <pageSetup scale="92" orientation="portrait" r:id="rId1"/>
  <drawing r:id="rId2"/>
  <legacyDrawing r:id="rId3"/>
  <controls>
    <mc:AlternateContent xmlns:mc="http://schemas.openxmlformats.org/markup-compatibility/2006">
      <mc:Choice Requires="x14">
        <control shapeId="61444" r:id="rId4" name="CommandButton4">
          <controlPr defaultSize="0" print="0" autoLine="0" r:id="rId5">
            <anchor moveWithCells="1">
              <from>
                <xdr:col>11</xdr:col>
                <xdr:colOff>228600</xdr:colOff>
                <xdr:row>4</xdr:row>
                <xdr:rowOff>57150</xdr:rowOff>
              </from>
              <to>
                <xdr:col>13</xdr:col>
                <xdr:colOff>95250</xdr:colOff>
                <xdr:row>5</xdr:row>
                <xdr:rowOff>133350</xdr:rowOff>
              </to>
            </anchor>
          </controlPr>
        </control>
      </mc:Choice>
      <mc:Fallback>
        <control shapeId="61444" r:id="rId4" name="CommandButton4"/>
      </mc:Fallback>
    </mc:AlternateContent>
    <mc:AlternateContent xmlns:mc="http://schemas.openxmlformats.org/markup-compatibility/2006">
      <mc:Choice Requires="x14">
        <control shapeId="61443" r:id="rId6" name="CommandButton3">
          <controlPr defaultSize="0" print="0" autoLine="0" r:id="rId7">
            <anchor moveWithCells="1">
              <from>
                <xdr:col>13</xdr:col>
                <xdr:colOff>257175</xdr:colOff>
                <xdr:row>4</xdr:row>
                <xdr:rowOff>57150</xdr:rowOff>
              </from>
              <to>
                <xdr:col>14</xdr:col>
                <xdr:colOff>390525</xdr:colOff>
                <xdr:row>5</xdr:row>
                <xdr:rowOff>133350</xdr:rowOff>
              </to>
            </anchor>
          </controlPr>
        </control>
      </mc:Choice>
      <mc:Fallback>
        <control shapeId="61443" r:id="rId6" name="CommandButton3"/>
      </mc:Fallback>
    </mc:AlternateContent>
    <mc:AlternateContent xmlns:mc="http://schemas.openxmlformats.org/markup-compatibility/2006">
      <mc:Choice Requires="x14">
        <control shapeId="61442" r:id="rId8" name="CommandButton2">
          <controlPr defaultSize="0" print="0" autoLine="0" r:id="rId9">
            <anchor moveWithCells="1">
              <from>
                <xdr:col>11</xdr:col>
                <xdr:colOff>219075</xdr:colOff>
                <xdr:row>2</xdr:row>
                <xdr:rowOff>104775</xdr:rowOff>
              </from>
              <to>
                <xdr:col>13</xdr:col>
                <xdr:colOff>104775</xdr:colOff>
                <xdr:row>4</xdr:row>
                <xdr:rowOff>19050</xdr:rowOff>
              </to>
            </anchor>
          </controlPr>
        </control>
      </mc:Choice>
      <mc:Fallback>
        <control shapeId="61442" r:id="rId8" name="CommandButton2"/>
      </mc:Fallback>
    </mc:AlternateContent>
    <mc:AlternateContent xmlns:mc="http://schemas.openxmlformats.org/markup-compatibility/2006">
      <mc:Choice Requires="x14">
        <control shapeId="61441" r:id="rId10" name="CommandButton1">
          <controlPr defaultSize="0" print="0" autoLine="0" r:id="rId11">
            <anchor moveWithCells="1">
              <from>
                <xdr:col>13</xdr:col>
                <xdr:colOff>257175</xdr:colOff>
                <xdr:row>2</xdr:row>
                <xdr:rowOff>104775</xdr:rowOff>
              </from>
              <to>
                <xdr:col>14</xdr:col>
                <xdr:colOff>390525</xdr:colOff>
                <xdr:row>4</xdr:row>
                <xdr:rowOff>19050</xdr:rowOff>
              </to>
            </anchor>
          </controlPr>
        </control>
      </mc:Choice>
      <mc:Fallback>
        <control shapeId="61441" r:id="rId10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0">
    <tabColor rgb="FFFFFF00"/>
  </sheetPr>
  <dimension ref="A1:Q533"/>
  <sheetViews>
    <sheetView showZeros="0" zoomScale="115" zoomScaleNormal="115" workbookViewId="0">
      <selection activeCell="D11" sqref="D11:I11"/>
    </sheetView>
  </sheetViews>
  <sheetFormatPr defaultRowHeight="9.75" customHeight="1" x14ac:dyDescent="0.2"/>
  <cols>
    <col min="1" max="1" width="2.7109375" style="269" customWidth="1"/>
    <col min="2" max="2" width="7" style="270" customWidth="1"/>
    <col min="3" max="3" width="7.7109375" style="270" customWidth="1"/>
    <col min="4" max="4" width="19.5703125" style="269" customWidth="1"/>
    <col min="5" max="5" width="9" style="270" customWidth="1"/>
    <col min="6" max="6" width="7.42578125" style="269" customWidth="1"/>
    <col min="7" max="7" width="4.7109375" style="269" customWidth="1"/>
    <col min="8" max="8" width="6.85546875" style="303" customWidth="1"/>
    <col min="9" max="9" width="2.5703125" style="269" customWidth="1"/>
    <col min="10" max="10" width="8.28515625" style="310" customWidth="1"/>
    <col min="11" max="11" width="4.140625" style="306" customWidth="1"/>
    <col min="12" max="12" width="7.140625" style="303" customWidth="1"/>
    <col min="13" max="13" width="4.42578125" style="306" customWidth="1"/>
    <col min="14" max="14" width="7.140625" style="303" customWidth="1"/>
    <col min="15" max="15" width="8.28515625" style="303" customWidth="1"/>
    <col min="16" max="16" width="0.5703125" style="269" customWidth="1"/>
    <col min="17" max="16384" width="9.140625" style="269"/>
  </cols>
  <sheetData>
    <row r="1" spans="1:17" ht="11.25" customHeight="1" x14ac:dyDescent="0.25">
      <c r="A1" s="268"/>
      <c r="B1" s="268"/>
      <c r="C1" s="268"/>
      <c r="D1" s="268"/>
      <c r="E1" s="529" t="s">
        <v>55</v>
      </c>
      <c r="F1" s="529"/>
      <c r="G1" s="529"/>
      <c r="H1" s="529"/>
      <c r="I1" s="529"/>
      <c r="J1" s="307"/>
      <c r="K1" s="602" t="s">
        <v>61</v>
      </c>
      <c r="L1" s="602"/>
      <c r="M1" s="602"/>
      <c r="N1" s="602"/>
      <c r="O1" s="602"/>
      <c r="P1" s="602"/>
      <c r="Q1" s="267"/>
    </row>
    <row r="2" spans="1:17" s="267" customFormat="1" ht="12" customHeight="1" x14ac:dyDescent="0.25">
      <c r="A2" s="272"/>
      <c r="B2" s="272"/>
      <c r="C2" s="272"/>
      <c r="D2" s="272"/>
      <c r="E2" s="529"/>
      <c r="F2" s="529"/>
      <c r="G2" s="529"/>
      <c r="H2" s="529"/>
      <c r="I2" s="529"/>
      <c r="J2" s="307"/>
      <c r="K2" s="603"/>
      <c r="L2" s="603"/>
      <c r="M2" s="603"/>
      <c r="N2" s="603"/>
      <c r="O2" s="603"/>
      <c r="P2" s="603"/>
    </row>
    <row r="3" spans="1:17" ht="15" customHeight="1" x14ac:dyDescent="0.2">
      <c r="A3" s="532" t="str">
        <f>BILL!A3</f>
        <v>Firm Name</v>
      </c>
      <c r="B3" s="533"/>
      <c r="C3" s="533"/>
      <c r="D3" s="533"/>
      <c r="E3" s="533"/>
      <c r="F3" s="533"/>
      <c r="G3" s="533"/>
      <c r="H3" s="533"/>
      <c r="I3" s="533"/>
      <c r="J3" s="533"/>
      <c r="K3" s="533"/>
      <c r="L3" s="533"/>
      <c r="M3" s="533"/>
      <c r="N3" s="533"/>
      <c r="O3" s="533"/>
      <c r="P3" s="534"/>
      <c r="Q3" s="267"/>
    </row>
    <row r="4" spans="1:17" ht="11.25" x14ac:dyDescent="0.2">
      <c r="A4" s="535"/>
      <c r="B4" s="536"/>
      <c r="C4" s="536"/>
      <c r="D4" s="536"/>
      <c r="E4" s="536"/>
      <c r="F4" s="536"/>
      <c r="G4" s="536"/>
      <c r="H4" s="536"/>
      <c r="I4" s="536"/>
      <c r="J4" s="536"/>
      <c r="K4" s="536"/>
      <c r="L4" s="536"/>
      <c r="M4" s="536"/>
      <c r="N4" s="536"/>
      <c r="O4" s="536"/>
      <c r="P4" s="537"/>
      <c r="Q4" s="267"/>
    </row>
    <row r="5" spans="1:17" ht="12" x14ac:dyDescent="0.2">
      <c r="A5" s="538" t="str">
        <f>BILL!A5</f>
        <v>Address: XXXXXXXXXXXXXXXXX, XXXXXXXXXXXXXX</v>
      </c>
      <c r="B5" s="539"/>
      <c r="C5" s="539"/>
      <c r="D5" s="539"/>
      <c r="E5" s="539"/>
      <c r="F5" s="539"/>
      <c r="G5" s="539"/>
      <c r="H5" s="539"/>
      <c r="I5" s="539"/>
      <c r="J5" s="539"/>
      <c r="K5" s="539"/>
      <c r="L5" s="539"/>
      <c r="M5" s="539"/>
      <c r="N5" s="539"/>
      <c r="O5" s="539"/>
      <c r="P5" s="540"/>
      <c r="Q5" s="267"/>
    </row>
    <row r="6" spans="1:17" ht="12" x14ac:dyDescent="0.2">
      <c r="A6" s="538" t="str">
        <f>BILL!A6</f>
        <v xml:space="preserve">Phone: XXXXX-XXXXX, Email: XXXXX-XXXXX@gmail.com </v>
      </c>
      <c r="B6" s="539"/>
      <c r="C6" s="539"/>
      <c r="D6" s="539"/>
      <c r="E6" s="539"/>
      <c r="F6" s="539"/>
      <c r="G6" s="539"/>
      <c r="H6" s="539"/>
      <c r="I6" s="539"/>
      <c r="J6" s="539"/>
      <c r="K6" s="539"/>
      <c r="L6" s="539"/>
      <c r="M6" s="539"/>
      <c r="N6" s="539"/>
      <c r="O6" s="539"/>
      <c r="P6" s="540"/>
      <c r="Q6" s="267"/>
    </row>
    <row r="7" spans="1:17" ht="12.75" x14ac:dyDescent="0.2">
      <c r="A7" s="541" t="str">
        <f>BILL!A7</f>
        <v xml:space="preserve">GSTN: XXXXXXXXXXXXXXX </v>
      </c>
      <c r="B7" s="542"/>
      <c r="C7" s="542"/>
      <c r="D7" s="542"/>
      <c r="E7" s="542"/>
      <c r="F7" s="542"/>
      <c r="G7" s="542"/>
      <c r="H7" s="542"/>
      <c r="I7" s="542"/>
      <c r="J7" s="542"/>
      <c r="K7" s="542"/>
      <c r="L7" s="542"/>
      <c r="M7" s="542"/>
      <c r="N7" s="542"/>
      <c r="O7" s="542"/>
      <c r="P7" s="543"/>
      <c r="Q7" s="267"/>
    </row>
    <row r="8" spans="1:17" ht="5.0999999999999996" customHeight="1" x14ac:dyDescent="0.25">
      <c r="A8" s="281"/>
      <c r="B8" s="282" t="s">
        <v>28</v>
      </c>
      <c r="C8" s="283"/>
      <c r="D8" s="279"/>
      <c r="E8" s="284"/>
      <c r="F8" s="279"/>
      <c r="G8" s="279"/>
      <c r="H8" s="299"/>
      <c r="I8" s="279"/>
      <c r="J8" s="308"/>
      <c r="K8" s="304"/>
      <c r="L8" s="311"/>
      <c r="M8" s="313"/>
      <c r="N8" s="311"/>
      <c r="O8" s="311"/>
      <c r="P8" s="280"/>
      <c r="Q8" s="267"/>
    </row>
    <row r="9" spans="1:17" ht="15.75" x14ac:dyDescent="0.25">
      <c r="A9" s="285"/>
      <c r="B9" s="547" t="s">
        <v>53</v>
      </c>
      <c r="C9" s="547"/>
      <c r="D9" s="547"/>
      <c r="E9" s="329"/>
      <c r="F9" s="330"/>
      <c r="G9" s="330"/>
      <c r="H9" s="331"/>
      <c r="I9" s="330"/>
      <c r="J9" s="309"/>
      <c r="K9" s="548" t="s">
        <v>88</v>
      </c>
      <c r="L9" s="549"/>
      <c r="M9" s="549"/>
      <c r="N9" s="550">
        <f>BILL!N9</f>
        <v>1933</v>
      </c>
      <c r="O9" s="550"/>
      <c r="P9" s="274"/>
      <c r="Q9" s="267"/>
    </row>
    <row r="10" spans="1:17" ht="5.25" customHeight="1" x14ac:dyDescent="0.2">
      <c r="A10" s="285"/>
      <c r="B10" s="329"/>
      <c r="C10" s="329"/>
      <c r="D10" s="330"/>
      <c r="E10" s="329"/>
      <c r="F10" s="330"/>
      <c r="G10" s="330"/>
      <c r="H10" s="331"/>
      <c r="I10" s="330"/>
      <c r="J10" s="309"/>
      <c r="K10" s="332"/>
      <c r="L10" s="333"/>
      <c r="M10" s="332"/>
      <c r="N10" s="333"/>
      <c r="O10" s="333"/>
      <c r="P10" s="275"/>
      <c r="Q10" s="267"/>
    </row>
    <row r="11" spans="1:17" ht="15" x14ac:dyDescent="0.25">
      <c r="A11" s="285"/>
      <c r="B11" s="545" t="s">
        <v>27</v>
      </c>
      <c r="C11" s="545"/>
      <c r="D11" s="547">
        <f>BILL!D11</f>
        <v>0</v>
      </c>
      <c r="E11" s="547"/>
      <c r="F11" s="547"/>
      <c r="G11" s="547"/>
      <c r="H11" s="547"/>
      <c r="I11" s="547"/>
      <c r="J11" s="309"/>
      <c r="K11" s="548" t="s">
        <v>89</v>
      </c>
      <c r="L11" s="549"/>
      <c r="M11" s="549"/>
      <c r="N11" s="551">
        <f>BILL!N11</f>
        <v>0</v>
      </c>
      <c r="O11" s="551"/>
      <c r="P11" s="276"/>
      <c r="Q11" s="267"/>
    </row>
    <row r="12" spans="1:17" ht="15" x14ac:dyDescent="0.25">
      <c r="A12" s="285"/>
      <c r="B12" s="545"/>
      <c r="C12" s="545"/>
      <c r="D12" s="547">
        <f>BILL!D12</f>
        <v>0</v>
      </c>
      <c r="E12" s="547"/>
      <c r="F12" s="547"/>
      <c r="G12" s="547"/>
      <c r="H12" s="547"/>
      <c r="I12" s="547"/>
      <c r="J12" s="309"/>
      <c r="K12" s="548" t="s">
        <v>90</v>
      </c>
      <c r="L12" s="549"/>
      <c r="M12" s="549"/>
      <c r="N12" s="544">
        <f>BILL!N12</f>
        <v>0</v>
      </c>
      <c r="O12" s="544"/>
      <c r="P12" s="277"/>
      <c r="Q12" s="267"/>
    </row>
    <row r="13" spans="1:17" ht="15" x14ac:dyDescent="0.25">
      <c r="A13" s="285"/>
      <c r="B13" s="545" t="s">
        <v>43</v>
      </c>
      <c r="C13" s="545"/>
      <c r="D13" s="546">
        <f>BILL!D13</f>
        <v>0</v>
      </c>
      <c r="E13" s="546"/>
      <c r="F13" s="546"/>
      <c r="G13" s="546"/>
      <c r="H13" s="546"/>
      <c r="I13" s="546"/>
      <c r="J13" s="309"/>
      <c r="K13" s="305"/>
      <c r="L13" s="312"/>
      <c r="M13" s="314"/>
      <c r="N13" s="315"/>
      <c r="O13" s="315"/>
      <c r="P13" s="278"/>
      <c r="Q13" s="267"/>
    </row>
    <row r="14" spans="1:17" ht="14.25" x14ac:dyDescent="0.2">
      <c r="A14" s="285"/>
      <c r="B14" s="545" t="s">
        <v>26</v>
      </c>
      <c r="C14" s="545"/>
      <c r="D14" s="546">
        <f>BILL!D14</f>
        <v>0</v>
      </c>
      <c r="E14" s="546"/>
      <c r="F14" s="546"/>
      <c r="G14" s="546"/>
      <c r="H14" s="546"/>
      <c r="I14" s="546"/>
      <c r="J14" s="309"/>
      <c r="K14" s="305"/>
      <c r="L14" s="300"/>
      <c r="M14" s="305"/>
      <c r="N14" s="300"/>
      <c r="O14" s="300"/>
      <c r="P14" s="275"/>
      <c r="Q14" s="267"/>
    </row>
    <row r="15" spans="1:17" ht="14.25" x14ac:dyDescent="0.2">
      <c r="A15" s="285"/>
      <c r="B15" s="545" t="s">
        <v>44</v>
      </c>
      <c r="C15" s="545"/>
      <c r="D15" s="546">
        <f>BILL!D15</f>
        <v>0</v>
      </c>
      <c r="E15" s="546"/>
      <c r="F15" s="546"/>
      <c r="G15" s="546"/>
      <c r="H15" s="546"/>
      <c r="I15" s="546"/>
      <c r="J15" s="309"/>
      <c r="K15" s="305"/>
      <c r="L15" s="300"/>
      <c r="M15" s="305"/>
      <c r="N15" s="300"/>
      <c r="O15" s="300"/>
      <c r="P15" s="275"/>
      <c r="Q15" s="267"/>
    </row>
    <row r="16" spans="1:17" ht="15" x14ac:dyDescent="0.25">
      <c r="A16" s="286"/>
      <c r="B16" s="549" t="s">
        <v>39</v>
      </c>
      <c r="C16" s="549"/>
      <c r="D16" s="552">
        <f>BILL!D16</f>
        <v>0</v>
      </c>
      <c r="E16" s="552"/>
      <c r="F16" s="552"/>
      <c r="G16" s="552"/>
      <c r="H16" s="552"/>
      <c r="I16" s="552"/>
      <c r="J16" s="309"/>
      <c r="K16" s="305"/>
      <c r="L16" s="300"/>
      <c r="M16" s="305"/>
      <c r="N16" s="300"/>
      <c r="O16" s="300"/>
      <c r="P16" s="275"/>
      <c r="Q16" s="267"/>
    </row>
    <row r="17" spans="1:17" s="318" customFormat="1" ht="12" customHeight="1" x14ac:dyDescent="0.2">
      <c r="A17" s="554" t="s">
        <v>24</v>
      </c>
      <c r="B17" s="554" t="s">
        <v>68</v>
      </c>
      <c r="C17" s="556" t="s">
        <v>2</v>
      </c>
      <c r="D17" s="556"/>
      <c r="E17" s="554" t="s">
        <v>9</v>
      </c>
      <c r="F17" s="554" t="s">
        <v>23</v>
      </c>
      <c r="G17" s="556" t="s">
        <v>3</v>
      </c>
      <c r="H17" s="563" t="s">
        <v>94</v>
      </c>
      <c r="I17" s="556" t="s">
        <v>87</v>
      </c>
      <c r="J17" s="563" t="s">
        <v>7</v>
      </c>
      <c r="K17" s="553" t="s">
        <v>5</v>
      </c>
      <c r="L17" s="553"/>
      <c r="M17" s="553" t="s">
        <v>6</v>
      </c>
      <c r="N17" s="553"/>
      <c r="O17" s="554" t="s">
        <v>19</v>
      </c>
      <c r="P17" s="554"/>
      <c r="Q17" s="317"/>
    </row>
    <row r="18" spans="1:17" s="318" customFormat="1" ht="12" customHeight="1" x14ac:dyDescent="0.2">
      <c r="A18" s="555"/>
      <c r="B18" s="555"/>
      <c r="C18" s="557"/>
      <c r="D18" s="557"/>
      <c r="E18" s="555"/>
      <c r="F18" s="555"/>
      <c r="G18" s="557"/>
      <c r="H18" s="564"/>
      <c r="I18" s="557"/>
      <c r="J18" s="564"/>
      <c r="K18" s="319" t="s">
        <v>51</v>
      </c>
      <c r="L18" s="320" t="s">
        <v>8</v>
      </c>
      <c r="M18" s="319" t="s">
        <v>51</v>
      </c>
      <c r="N18" s="320" t="s">
        <v>8</v>
      </c>
      <c r="O18" s="555"/>
      <c r="P18" s="555"/>
      <c r="Q18" s="317"/>
    </row>
    <row r="19" spans="1:17" s="298" customFormat="1" ht="14.1" customHeight="1" x14ac:dyDescent="0.2">
      <c r="A19" s="321" t="str">
        <f>BILL!A19</f>
        <v/>
      </c>
      <c r="B19" s="321">
        <f>BILL!B19</f>
        <v>0</v>
      </c>
      <c r="C19" s="604">
        <f>BILL!C19</f>
        <v>0</v>
      </c>
      <c r="D19" s="605"/>
      <c r="E19" s="322">
        <f>BILL!E19</f>
        <v>0</v>
      </c>
      <c r="F19" s="323">
        <f>BILL!F19</f>
        <v>0</v>
      </c>
      <c r="G19" s="416">
        <f>BILL!G19</f>
        <v>0</v>
      </c>
      <c r="H19" s="325">
        <f>BILL!H19</f>
        <v>0</v>
      </c>
      <c r="I19" s="324">
        <f>BILL!I19</f>
        <v>0</v>
      </c>
      <c r="J19" s="325">
        <f>BILL!J19</f>
        <v>0</v>
      </c>
      <c r="K19" s="326">
        <f>BILL!K19</f>
        <v>0</v>
      </c>
      <c r="L19" s="325">
        <f>BILL!L19</f>
        <v>0</v>
      </c>
      <c r="M19" s="326">
        <f>BILL!M19</f>
        <v>0</v>
      </c>
      <c r="N19" s="325">
        <f>BILL!N19</f>
        <v>0</v>
      </c>
      <c r="O19" s="327">
        <f>BILL!O19</f>
        <v>0</v>
      </c>
      <c r="P19" s="296"/>
      <c r="Q19" s="297"/>
    </row>
    <row r="20" spans="1:17" s="295" customFormat="1" ht="14.1" customHeight="1" x14ac:dyDescent="0.2">
      <c r="A20" s="321" t="str">
        <f>BILL!A20</f>
        <v/>
      </c>
      <c r="B20" s="321">
        <f>BILL!B20</f>
        <v>0</v>
      </c>
      <c r="C20" s="606">
        <f>BILL!C20</f>
        <v>0</v>
      </c>
      <c r="D20" s="607"/>
      <c r="E20" s="322">
        <f>BILL!E20</f>
        <v>0</v>
      </c>
      <c r="F20" s="323">
        <f>BILL!F20</f>
        <v>0</v>
      </c>
      <c r="G20" s="416">
        <f>BILL!G20</f>
        <v>0</v>
      </c>
      <c r="H20" s="325">
        <f>BILL!H20</f>
        <v>0</v>
      </c>
      <c r="I20" s="324">
        <f>BILL!I20</f>
        <v>0</v>
      </c>
      <c r="J20" s="325">
        <f>BILL!J20</f>
        <v>0</v>
      </c>
      <c r="K20" s="326">
        <f>BILL!K20</f>
        <v>0</v>
      </c>
      <c r="L20" s="325">
        <f>BILL!L20</f>
        <v>0</v>
      </c>
      <c r="M20" s="326">
        <f>BILL!M20</f>
        <v>0</v>
      </c>
      <c r="N20" s="325">
        <f>BILL!N20</f>
        <v>0</v>
      </c>
      <c r="O20" s="328">
        <f>BILL!O20</f>
        <v>0</v>
      </c>
      <c r="P20" s="296"/>
      <c r="Q20" s="294"/>
    </row>
    <row r="21" spans="1:17" s="295" customFormat="1" ht="14.1" customHeight="1" x14ac:dyDescent="0.2">
      <c r="A21" s="321" t="str">
        <f>BILL!A21</f>
        <v/>
      </c>
      <c r="B21" s="321">
        <f>BILL!B21</f>
        <v>0</v>
      </c>
      <c r="C21" s="606">
        <f>BILL!C21</f>
        <v>0</v>
      </c>
      <c r="D21" s="607"/>
      <c r="E21" s="322">
        <f>BILL!E21</f>
        <v>0</v>
      </c>
      <c r="F21" s="323">
        <f>BILL!F21</f>
        <v>0</v>
      </c>
      <c r="G21" s="416">
        <f>BILL!G21</f>
        <v>0</v>
      </c>
      <c r="H21" s="325">
        <f>BILL!H21</f>
        <v>0</v>
      </c>
      <c r="I21" s="324">
        <f>BILL!I21</f>
        <v>0</v>
      </c>
      <c r="J21" s="325">
        <f>BILL!J21</f>
        <v>0</v>
      </c>
      <c r="K21" s="326">
        <f>BILL!K21</f>
        <v>0</v>
      </c>
      <c r="L21" s="325">
        <f>BILL!L21</f>
        <v>0</v>
      </c>
      <c r="M21" s="326">
        <f>BILL!M21</f>
        <v>0</v>
      </c>
      <c r="N21" s="325">
        <f>BILL!N21</f>
        <v>0</v>
      </c>
      <c r="O21" s="328">
        <f>BILL!O21</f>
        <v>0</v>
      </c>
      <c r="P21" s="296"/>
      <c r="Q21" s="294"/>
    </row>
    <row r="22" spans="1:17" s="295" customFormat="1" ht="14.1" customHeight="1" x14ac:dyDescent="0.2">
      <c r="A22" s="321" t="str">
        <f>BILL!A22</f>
        <v/>
      </c>
      <c r="B22" s="321">
        <f>BILL!B22</f>
        <v>0</v>
      </c>
      <c r="C22" s="606">
        <f>BILL!C22</f>
        <v>0</v>
      </c>
      <c r="D22" s="607"/>
      <c r="E22" s="322">
        <f>BILL!E22</f>
        <v>0</v>
      </c>
      <c r="F22" s="323">
        <f>BILL!F22</f>
        <v>0</v>
      </c>
      <c r="G22" s="416">
        <f>BILL!G22</f>
        <v>0</v>
      </c>
      <c r="H22" s="325">
        <f>BILL!H22</f>
        <v>0</v>
      </c>
      <c r="I22" s="324">
        <f>BILL!I22</f>
        <v>0</v>
      </c>
      <c r="J22" s="325">
        <f>BILL!J22</f>
        <v>0</v>
      </c>
      <c r="K22" s="326">
        <f>BILL!K22</f>
        <v>0</v>
      </c>
      <c r="L22" s="325">
        <f>BILL!L22</f>
        <v>0</v>
      </c>
      <c r="M22" s="326">
        <f>BILL!M22</f>
        <v>0</v>
      </c>
      <c r="N22" s="325">
        <f>BILL!N22</f>
        <v>0</v>
      </c>
      <c r="O22" s="328">
        <f>BILL!O22</f>
        <v>0</v>
      </c>
      <c r="P22" s="296"/>
      <c r="Q22" s="294"/>
    </row>
    <row r="23" spans="1:17" s="295" customFormat="1" ht="14.1" customHeight="1" x14ac:dyDescent="0.2">
      <c r="A23" s="321" t="str">
        <f>BILL!A23</f>
        <v/>
      </c>
      <c r="B23" s="321">
        <f>BILL!B23</f>
        <v>0</v>
      </c>
      <c r="C23" s="606">
        <f>BILL!C23</f>
        <v>0</v>
      </c>
      <c r="D23" s="607"/>
      <c r="E23" s="322">
        <f>BILL!E23</f>
        <v>0</v>
      </c>
      <c r="F23" s="323">
        <f>BILL!F23</f>
        <v>0</v>
      </c>
      <c r="G23" s="416">
        <f>BILL!G23</f>
        <v>0</v>
      </c>
      <c r="H23" s="325">
        <f>BILL!H23</f>
        <v>0</v>
      </c>
      <c r="I23" s="324">
        <f>BILL!I23</f>
        <v>0</v>
      </c>
      <c r="J23" s="325">
        <f>BILL!J23</f>
        <v>0</v>
      </c>
      <c r="K23" s="326">
        <f>BILL!K23</f>
        <v>0</v>
      </c>
      <c r="L23" s="325">
        <f>BILL!L23</f>
        <v>0</v>
      </c>
      <c r="M23" s="326">
        <f>BILL!M23</f>
        <v>0</v>
      </c>
      <c r="N23" s="325">
        <f>BILL!N23</f>
        <v>0</v>
      </c>
      <c r="O23" s="328">
        <f>BILL!O23</f>
        <v>0</v>
      </c>
      <c r="P23" s="296"/>
      <c r="Q23" s="294"/>
    </row>
    <row r="24" spans="1:17" s="295" customFormat="1" ht="14.1" customHeight="1" x14ac:dyDescent="0.2">
      <c r="A24" s="321" t="str">
        <f>BILL!A24</f>
        <v/>
      </c>
      <c r="B24" s="321">
        <f>BILL!B24</f>
        <v>0</v>
      </c>
      <c r="C24" s="606">
        <f>BILL!C24</f>
        <v>0</v>
      </c>
      <c r="D24" s="607"/>
      <c r="E24" s="322">
        <f>BILL!E24</f>
        <v>0</v>
      </c>
      <c r="F24" s="323">
        <f>BILL!F24</f>
        <v>0</v>
      </c>
      <c r="G24" s="416">
        <f>BILL!G24</f>
        <v>0</v>
      </c>
      <c r="H24" s="325">
        <f>BILL!H24</f>
        <v>0</v>
      </c>
      <c r="I24" s="324">
        <f>BILL!I24</f>
        <v>0</v>
      </c>
      <c r="J24" s="325">
        <f>BILL!J24</f>
        <v>0</v>
      </c>
      <c r="K24" s="326">
        <f>BILL!K24</f>
        <v>0</v>
      </c>
      <c r="L24" s="325">
        <f>BILL!L24</f>
        <v>0</v>
      </c>
      <c r="M24" s="326">
        <f>BILL!M24</f>
        <v>0</v>
      </c>
      <c r="N24" s="325">
        <f>BILL!N24</f>
        <v>0</v>
      </c>
      <c r="O24" s="328">
        <f>BILL!O24</f>
        <v>0</v>
      </c>
      <c r="P24" s="296"/>
      <c r="Q24" s="294"/>
    </row>
    <row r="25" spans="1:17" s="295" customFormat="1" ht="14.1" customHeight="1" x14ac:dyDescent="0.2">
      <c r="A25" s="321" t="str">
        <f>BILL!A25</f>
        <v/>
      </c>
      <c r="B25" s="321">
        <f>BILL!B25</f>
        <v>0</v>
      </c>
      <c r="C25" s="606">
        <f>BILL!C25</f>
        <v>0</v>
      </c>
      <c r="D25" s="607"/>
      <c r="E25" s="322">
        <f>BILL!E25</f>
        <v>0</v>
      </c>
      <c r="F25" s="323">
        <f>BILL!F25</f>
        <v>0</v>
      </c>
      <c r="G25" s="416">
        <f>BILL!G25</f>
        <v>0</v>
      </c>
      <c r="H25" s="325">
        <f>BILL!H25</f>
        <v>0</v>
      </c>
      <c r="I25" s="324">
        <f>BILL!I25</f>
        <v>0</v>
      </c>
      <c r="J25" s="325">
        <f>BILL!J25</f>
        <v>0</v>
      </c>
      <c r="K25" s="326">
        <f>BILL!K25</f>
        <v>0</v>
      </c>
      <c r="L25" s="325">
        <f>BILL!L25</f>
        <v>0</v>
      </c>
      <c r="M25" s="326">
        <f>BILL!M25</f>
        <v>0</v>
      </c>
      <c r="N25" s="325">
        <f>BILL!N25</f>
        <v>0</v>
      </c>
      <c r="O25" s="328">
        <f>BILL!O25</f>
        <v>0</v>
      </c>
      <c r="P25" s="296"/>
      <c r="Q25" s="294"/>
    </row>
    <row r="26" spans="1:17" s="295" customFormat="1" ht="14.1" customHeight="1" x14ac:dyDescent="0.2">
      <c r="A26" s="321" t="str">
        <f>BILL!A26</f>
        <v/>
      </c>
      <c r="B26" s="321">
        <f>BILL!B26</f>
        <v>0</v>
      </c>
      <c r="C26" s="606">
        <f>BILL!C26</f>
        <v>0</v>
      </c>
      <c r="D26" s="607"/>
      <c r="E26" s="322">
        <f>BILL!E26</f>
        <v>0</v>
      </c>
      <c r="F26" s="323">
        <f>BILL!F26</f>
        <v>0</v>
      </c>
      <c r="G26" s="416">
        <f>BILL!G26</f>
        <v>0</v>
      </c>
      <c r="H26" s="325">
        <f>BILL!H26</f>
        <v>0</v>
      </c>
      <c r="I26" s="324">
        <f>BILL!I26</f>
        <v>0</v>
      </c>
      <c r="J26" s="325">
        <f>BILL!J26</f>
        <v>0</v>
      </c>
      <c r="K26" s="326">
        <f>BILL!K26</f>
        <v>0</v>
      </c>
      <c r="L26" s="325">
        <f>BILL!L26</f>
        <v>0</v>
      </c>
      <c r="M26" s="326">
        <f>BILL!M26</f>
        <v>0</v>
      </c>
      <c r="N26" s="325">
        <f>BILL!N26</f>
        <v>0</v>
      </c>
      <c r="O26" s="328">
        <f>BILL!O26</f>
        <v>0</v>
      </c>
      <c r="P26" s="296"/>
      <c r="Q26" s="294"/>
    </row>
    <row r="27" spans="1:17" s="295" customFormat="1" ht="14.1" customHeight="1" x14ac:dyDescent="0.2">
      <c r="A27" s="321" t="str">
        <f>BILL!A27</f>
        <v/>
      </c>
      <c r="B27" s="321">
        <f>BILL!B27</f>
        <v>0</v>
      </c>
      <c r="C27" s="606">
        <f>BILL!C27</f>
        <v>0</v>
      </c>
      <c r="D27" s="607"/>
      <c r="E27" s="322">
        <f>BILL!E27</f>
        <v>0</v>
      </c>
      <c r="F27" s="323">
        <f>BILL!F27</f>
        <v>0</v>
      </c>
      <c r="G27" s="416">
        <f>BILL!G27</f>
        <v>0</v>
      </c>
      <c r="H27" s="325">
        <f>BILL!H27</f>
        <v>0</v>
      </c>
      <c r="I27" s="324">
        <f>BILL!I27</f>
        <v>0</v>
      </c>
      <c r="J27" s="325">
        <f>BILL!J27</f>
        <v>0</v>
      </c>
      <c r="K27" s="326">
        <f>BILL!K27</f>
        <v>0</v>
      </c>
      <c r="L27" s="325">
        <f>BILL!L27</f>
        <v>0</v>
      </c>
      <c r="M27" s="326">
        <f>BILL!M27</f>
        <v>0</v>
      </c>
      <c r="N27" s="325">
        <f>BILL!N27</f>
        <v>0</v>
      </c>
      <c r="O27" s="328">
        <f>BILL!O27</f>
        <v>0</v>
      </c>
      <c r="P27" s="296"/>
      <c r="Q27" s="294"/>
    </row>
    <row r="28" spans="1:17" s="295" customFormat="1" ht="14.1" customHeight="1" x14ac:dyDescent="0.2">
      <c r="A28" s="321" t="str">
        <f>BILL!A28</f>
        <v/>
      </c>
      <c r="B28" s="321">
        <f>BILL!B28</f>
        <v>0</v>
      </c>
      <c r="C28" s="606">
        <f>BILL!C28</f>
        <v>0</v>
      </c>
      <c r="D28" s="607"/>
      <c r="E28" s="322">
        <f>BILL!E28</f>
        <v>0</v>
      </c>
      <c r="F28" s="323">
        <f>BILL!F28</f>
        <v>0</v>
      </c>
      <c r="G28" s="416">
        <f>BILL!G28</f>
        <v>0</v>
      </c>
      <c r="H28" s="325">
        <f>BILL!H28</f>
        <v>0</v>
      </c>
      <c r="I28" s="324">
        <f>BILL!I28</f>
        <v>0</v>
      </c>
      <c r="J28" s="325">
        <f>BILL!J28</f>
        <v>0</v>
      </c>
      <c r="K28" s="326">
        <f>BILL!K28</f>
        <v>0</v>
      </c>
      <c r="L28" s="325">
        <f>BILL!L28</f>
        <v>0</v>
      </c>
      <c r="M28" s="326">
        <f>BILL!M28</f>
        <v>0</v>
      </c>
      <c r="N28" s="325">
        <f>BILL!N28</f>
        <v>0</v>
      </c>
      <c r="O28" s="328">
        <f>BILL!O28</f>
        <v>0</v>
      </c>
      <c r="P28" s="296"/>
      <c r="Q28" s="294"/>
    </row>
    <row r="29" spans="1:17" s="295" customFormat="1" ht="14.1" customHeight="1" x14ac:dyDescent="0.2">
      <c r="A29" s="321" t="str">
        <f>BILL!A29</f>
        <v/>
      </c>
      <c r="B29" s="321">
        <f>BILL!B29</f>
        <v>0</v>
      </c>
      <c r="C29" s="606">
        <f>BILL!C29</f>
        <v>0</v>
      </c>
      <c r="D29" s="607"/>
      <c r="E29" s="322">
        <f>BILL!E29</f>
        <v>0</v>
      </c>
      <c r="F29" s="323">
        <f>BILL!F29</f>
        <v>0</v>
      </c>
      <c r="G29" s="416">
        <f>BILL!G29</f>
        <v>0</v>
      </c>
      <c r="H29" s="325">
        <f>BILL!H29</f>
        <v>0</v>
      </c>
      <c r="I29" s="324">
        <f>BILL!I29</f>
        <v>0</v>
      </c>
      <c r="J29" s="325">
        <f>BILL!J29</f>
        <v>0</v>
      </c>
      <c r="K29" s="326">
        <f>BILL!K29</f>
        <v>0</v>
      </c>
      <c r="L29" s="325">
        <f>BILL!L29</f>
        <v>0</v>
      </c>
      <c r="M29" s="326">
        <f>BILL!M29</f>
        <v>0</v>
      </c>
      <c r="N29" s="325">
        <f>BILL!N29</f>
        <v>0</v>
      </c>
      <c r="O29" s="328">
        <f>BILL!O29</f>
        <v>0</v>
      </c>
      <c r="P29" s="296"/>
      <c r="Q29" s="294"/>
    </row>
    <row r="30" spans="1:17" s="295" customFormat="1" ht="14.1" customHeight="1" x14ac:dyDescent="0.2">
      <c r="A30" s="321" t="str">
        <f>BILL!A30</f>
        <v/>
      </c>
      <c r="B30" s="321">
        <f>BILL!B30</f>
        <v>0</v>
      </c>
      <c r="C30" s="606">
        <f>BILL!C30</f>
        <v>0</v>
      </c>
      <c r="D30" s="607"/>
      <c r="E30" s="322">
        <f>BILL!E30</f>
        <v>0</v>
      </c>
      <c r="F30" s="323">
        <f>BILL!F30</f>
        <v>0</v>
      </c>
      <c r="G30" s="416">
        <f>BILL!G30</f>
        <v>0</v>
      </c>
      <c r="H30" s="325">
        <f>BILL!H30</f>
        <v>0</v>
      </c>
      <c r="I30" s="324">
        <f>BILL!I30</f>
        <v>0</v>
      </c>
      <c r="J30" s="325">
        <f>BILL!J30</f>
        <v>0</v>
      </c>
      <c r="K30" s="326">
        <f>BILL!K30</f>
        <v>0</v>
      </c>
      <c r="L30" s="325">
        <f>BILL!L30</f>
        <v>0</v>
      </c>
      <c r="M30" s="326">
        <f>BILL!M30</f>
        <v>0</v>
      </c>
      <c r="N30" s="325">
        <f>BILL!N30</f>
        <v>0</v>
      </c>
      <c r="O30" s="328">
        <f>BILL!O30</f>
        <v>0</v>
      </c>
      <c r="P30" s="296"/>
      <c r="Q30" s="294"/>
    </row>
    <row r="31" spans="1:17" s="295" customFormat="1" ht="14.1" customHeight="1" x14ac:dyDescent="0.2">
      <c r="A31" s="321" t="str">
        <f>BILL!A31</f>
        <v/>
      </c>
      <c r="B31" s="321">
        <f>BILL!B31</f>
        <v>0</v>
      </c>
      <c r="C31" s="606">
        <f>BILL!C31</f>
        <v>0</v>
      </c>
      <c r="D31" s="607"/>
      <c r="E31" s="322">
        <f>BILL!E31</f>
        <v>0</v>
      </c>
      <c r="F31" s="323">
        <f>BILL!F31</f>
        <v>0</v>
      </c>
      <c r="G31" s="416">
        <f>BILL!G31</f>
        <v>0</v>
      </c>
      <c r="H31" s="325">
        <f>BILL!H31</f>
        <v>0</v>
      </c>
      <c r="I31" s="324">
        <f>BILL!I31</f>
        <v>0</v>
      </c>
      <c r="J31" s="325">
        <f>BILL!J31</f>
        <v>0</v>
      </c>
      <c r="K31" s="326">
        <f>BILL!K31</f>
        <v>0</v>
      </c>
      <c r="L31" s="325">
        <f>BILL!L31</f>
        <v>0</v>
      </c>
      <c r="M31" s="326">
        <f>BILL!M31</f>
        <v>0</v>
      </c>
      <c r="N31" s="325">
        <f>BILL!N31</f>
        <v>0</v>
      </c>
      <c r="O31" s="328">
        <f>BILL!O31</f>
        <v>0</v>
      </c>
      <c r="P31" s="296"/>
      <c r="Q31" s="294"/>
    </row>
    <row r="32" spans="1:17" s="295" customFormat="1" ht="14.1" customHeight="1" x14ac:dyDescent="0.2">
      <c r="A32" s="321" t="str">
        <f>BILL!A32</f>
        <v/>
      </c>
      <c r="B32" s="321">
        <f>BILL!B32</f>
        <v>0</v>
      </c>
      <c r="C32" s="606">
        <f>BILL!C32</f>
        <v>0</v>
      </c>
      <c r="D32" s="607"/>
      <c r="E32" s="322">
        <f>BILL!E32</f>
        <v>0</v>
      </c>
      <c r="F32" s="323">
        <f>BILL!F32</f>
        <v>0</v>
      </c>
      <c r="G32" s="416">
        <f>BILL!G32</f>
        <v>0</v>
      </c>
      <c r="H32" s="325">
        <f>BILL!H32</f>
        <v>0</v>
      </c>
      <c r="I32" s="324">
        <f>BILL!I32</f>
        <v>0</v>
      </c>
      <c r="J32" s="325">
        <f>BILL!J32</f>
        <v>0</v>
      </c>
      <c r="K32" s="326">
        <f>BILL!K32</f>
        <v>0</v>
      </c>
      <c r="L32" s="325">
        <f>BILL!L32</f>
        <v>0</v>
      </c>
      <c r="M32" s="326">
        <f>BILL!M32</f>
        <v>0</v>
      </c>
      <c r="N32" s="325">
        <f>BILL!N32</f>
        <v>0</v>
      </c>
      <c r="O32" s="328">
        <f>BILL!O32</f>
        <v>0</v>
      </c>
      <c r="P32" s="296"/>
      <c r="Q32" s="294"/>
    </row>
    <row r="33" spans="1:17" s="295" customFormat="1" ht="14.1" customHeight="1" x14ac:dyDescent="0.2">
      <c r="A33" s="321" t="str">
        <f>BILL!A33</f>
        <v/>
      </c>
      <c r="B33" s="321">
        <f>BILL!B33</f>
        <v>0</v>
      </c>
      <c r="C33" s="606">
        <f>BILL!C33</f>
        <v>0</v>
      </c>
      <c r="D33" s="607"/>
      <c r="E33" s="322">
        <f>BILL!E33</f>
        <v>0</v>
      </c>
      <c r="F33" s="323">
        <f>BILL!F33</f>
        <v>0</v>
      </c>
      <c r="G33" s="416">
        <f>BILL!G33</f>
        <v>0</v>
      </c>
      <c r="H33" s="325">
        <f>BILL!H33</f>
        <v>0</v>
      </c>
      <c r="I33" s="324">
        <f>BILL!I33</f>
        <v>0</v>
      </c>
      <c r="J33" s="325">
        <f>BILL!J33</f>
        <v>0</v>
      </c>
      <c r="K33" s="326">
        <f>BILL!K33</f>
        <v>0</v>
      </c>
      <c r="L33" s="325">
        <f>BILL!L33</f>
        <v>0</v>
      </c>
      <c r="M33" s="326">
        <f>BILL!M33</f>
        <v>0</v>
      </c>
      <c r="N33" s="325">
        <f>BILL!N33</f>
        <v>0</v>
      </c>
      <c r="O33" s="328">
        <f>BILL!O33</f>
        <v>0</v>
      </c>
      <c r="P33" s="296"/>
      <c r="Q33" s="294"/>
    </row>
    <row r="34" spans="1:17" s="295" customFormat="1" ht="14.1" customHeight="1" x14ac:dyDescent="0.2">
      <c r="A34" s="321" t="str">
        <f>BILL!A34</f>
        <v/>
      </c>
      <c r="B34" s="321">
        <f>BILL!B34</f>
        <v>0</v>
      </c>
      <c r="C34" s="606">
        <f>BILL!C34</f>
        <v>0</v>
      </c>
      <c r="D34" s="607"/>
      <c r="E34" s="322">
        <f>BILL!E34</f>
        <v>0</v>
      </c>
      <c r="F34" s="323">
        <f>BILL!F34</f>
        <v>0</v>
      </c>
      <c r="G34" s="416">
        <f>BILL!G34</f>
        <v>0</v>
      </c>
      <c r="H34" s="325">
        <f>BILL!H34</f>
        <v>0</v>
      </c>
      <c r="I34" s="324">
        <f>BILL!I34</f>
        <v>0</v>
      </c>
      <c r="J34" s="325">
        <f>BILL!J34</f>
        <v>0</v>
      </c>
      <c r="K34" s="326">
        <f>BILL!K34</f>
        <v>0</v>
      </c>
      <c r="L34" s="325">
        <f>BILL!L34</f>
        <v>0</v>
      </c>
      <c r="M34" s="326">
        <f>BILL!M34</f>
        <v>0</v>
      </c>
      <c r="N34" s="325">
        <f>BILL!N34</f>
        <v>0</v>
      </c>
      <c r="O34" s="328">
        <f>BILL!O34</f>
        <v>0</v>
      </c>
      <c r="P34" s="296"/>
      <c r="Q34" s="294"/>
    </row>
    <row r="35" spans="1:17" s="295" customFormat="1" ht="14.1" customHeight="1" x14ac:dyDescent="0.2">
      <c r="A35" s="321" t="str">
        <f>BILL!A35</f>
        <v/>
      </c>
      <c r="B35" s="321">
        <f>BILL!B35</f>
        <v>0</v>
      </c>
      <c r="C35" s="606">
        <f>BILL!C35</f>
        <v>0</v>
      </c>
      <c r="D35" s="607"/>
      <c r="E35" s="322">
        <f>BILL!E35</f>
        <v>0</v>
      </c>
      <c r="F35" s="323">
        <f>BILL!F35</f>
        <v>0</v>
      </c>
      <c r="G35" s="416">
        <f>BILL!G35</f>
        <v>0</v>
      </c>
      <c r="H35" s="325">
        <f>BILL!H35</f>
        <v>0</v>
      </c>
      <c r="I35" s="324">
        <f>BILL!I35</f>
        <v>0</v>
      </c>
      <c r="J35" s="325">
        <f>BILL!J35</f>
        <v>0</v>
      </c>
      <c r="K35" s="326">
        <f>BILL!K35</f>
        <v>0</v>
      </c>
      <c r="L35" s="325">
        <f>BILL!L35</f>
        <v>0</v>
      </c>
      <c r="M35" s="326">
        <f>BILL!M35</f>
        <v>0</v>
      </c>
      <c r="N35" s="325">
        <f>BILL!N35</f>
        <v>0</v>
      </c>
      <c r="O35" s="328">
        <f>BILL!O35</f>
        <v>0</v>
      </c>
      <c r="P35" s="296"/>
      <c r="Q35" s="294"/>
    </row>
    <row r="36" spans="1:17" s="295" customFormat="1" ht="14.1" customHeight="1" x14ac:dyDescent="0.2">
      <c r="A36" s="321" t="str">
        <f>BILL!A36</f>
        <v/>
      </c>
      <c r="B36" s="321">
        <f>BILL!B36</f>
        <v>0</v>
      </c>
      <c r="C36" s="606">
        <f>BILL!C36</f>
        <v>0</v>
      </c>
      <c r="D36" s="607"/>
      <c r="E36" s="322">
        <f>BILL!E36</f>
        <v>0</v>
      </c>
      <c r="F36" s="323">
        <f>BILL!F36</f>
        <v>0</v>
      </c>
      <c r="G36" s="416">
        <f>BILL!G36</f>
        <v>0</v>
      </c>
      <c r="H36" s="325">
        <f>BILL!H36</f>
        <v>0</v>
      </c>
      <c r="I36" s="324">
        <f>BILL!I36</f>
        <v>0</v>
      </c>
      <c r="J36" s="325">
        <f>BILL!J36</f>
        <v>0</v>
      </c>
      <c r="K36" s="326">
        <f>BILL!K36</f>
        <v>0</v>
      </c>
      <c r="L36" s="325">
        <f>BILL!L36</f>
        <v>0</v>
      </c>
      <c r="M36" s="326">
        <f>BILL!M36</f>
        <v>0</v>
      </c>
      <c r="N36" s="325">
        <f>BILL!N36</f>
        <v>0</v>
      </c>
      <c r="O36" s="328">
        <f>BILL!O36</f>
        <v>0</v>
      </c>
      <c r="P36" s="296"/>
      <c r="Q36" s="294"/>
    </row>
    <row r="37" spans="1:17" s="295" customFormat="1" ht="14.1" customHeight="1" x14ac:dyDescent="0.2">
      <c r="A37" s="321" t="str">
        <f>BILL!A37</f>
        <v/>
      </c>
      <c r="B37" s="321">
        <f>BILL!B37</f>
        <v>0</v>
      </c>
      <c r="C37" s="606">
        <f>BILL!C37</f>
        <v>0</v>
      </c>
      <c r="D37" s="607"/>
      <c r="E37" s="322">
        <f>BILL!E37</f>
        <v>0</v>
      </c>
      <c r="F37" s="323">
        <f>BILL!F37</f>
        <v>0</v>
      </c>
      <c r="G37" s="416">
        <f>BILL!G37</f>
        <v>0</v>
      </c>
      <c r="H37" s="325">
        <f>BILL!H37</f>
        <v>0</v>
      </c>
      <c r="I37" s="324">
        <f>BILL!I37</f>
        <v>0</v>
      </c>
      <c r="J37" s="325">
        <f>BILL!J37</f>
        <v>0</v>
      </c>
      <c r="K37" s="326">
        <f>BILL!K37</f>
        <v>0</v>
      </c>
      <c r="L37" s="325">
        <f>BILL!L37</f>
        <v>0</v>
      </c>
      <c r="M37" s="326">
        <f>BILL!M37</f>
        <v>0</v>
      </c>
      <c r="N37" s="325">
        <f>BILL!N37</f>
        <v>0</v>
      </c>
      <c r="O37" s="328">
        <f>BILL!O37</f>
        <v>0</v>
      </c>
      <c r="P37" s="296"/>
      <c r="Q37" s="294"/>
    </row>
    <row r="38" spans="1:17" s="295" customFormat="1" ht="14.1" customHeight="1" x14ac:dyDescent="0.2">
      <c r="A38" s="321" t="str">
        <f>BILL!A38</f>
        <v/>
      </c>
      <c r="B38" s="321">
        <f>BILL!B38</f>
        <v>0</v>
      </c>
      <c r="C38" s="606">
        <f>BILL!C38</f>
        <v>0</v>
      </c>
      <c r="D38" s="607"/>
      <c r="E38" s="322">
        <f>BILL!E38</f>
        <v>0</v>
      </c>
      <c r="F38" s="323">
        <f>BILL!F38</f>
        <v>0</v>
      </c>
      <c r="G38" s="416">
        <f>BILL!G38</f>
        <v>0</v>
      </c>
      <c r="H38" s="325">
        <f>BILL!H38</f>
        <v>0</v>
      </c>
      <c r="I38" s="324">
        <f>BILL!I38</f>
        <v>0</v>
      </c>
      <c r="J38" s="325">
        <f>BILL!J38</f>
        <v>0</v>
      </c>
      <c r="K38" s="326">
        <f>BILL!K38</f>
        <v>0</v>
      </c>
      <c r="L38" s="325">
        <f>BILL!L38</f>
        <v>0</v>
      </c>
      <c r="M38" s="326">
        <f>BILL!M38</f>
        <v>0</v>
      </c>
      <c r="N38" s="325">
        <f>BILL!N38</f>
        <v>0</v>
      </c>
      <c r="O38" s="328">
        <f>BILL!O38</f>
        <v>0</v>
      </c>
      <c r="P38" s="296"/>
      <c r="Q38" s="294"/>
    </row>
    <row r="39" spans="1:17" s="295" customFormat="1" ht="14.1" customHeight="1" x14ac:dyDescent="0.2">
      <c r="A39" s="321" t="str">
        <f>BILL!A39</f>
        <v/>
      </c>
      <c r="B39" s="321">
        <f>BILL!B39</f>
        <v>0</v>
      </c>
      <c r="C39" s="606">
        <f>BILL!C39</f>
        <v>0</v>
      </c>
      <c r="D39" s="607"/>
      <c r="E39" s="322">
        <f>BILL!E39</f>
        <v>0</v>
      </c>
      <c r="F39" s="323">
        <f>BILL!F39</f>
        <v>0</v>
      </c>
      <c r="G39" s="416">
        <f>BILL!G39</f>
        <v>0</v>
      </c>
      <c r="H39" s="325">
        <f>BILL!H39</f>
        <v>0</v>
      </c>
      <c r="I39" s="324">
        <f>BILL!I39</f>
        <v>0</v>
      </c>
      <c r="J39" s="325">
        <f>BILL!J39</f>
        <v>0</v>
      </c>
      <c r="K39" s="326">
        <f>BILL!K39</f>
        <v>0</v>
      </c>
      <c r="L39" s="325">
        <f>BILL!L39</f>
        <v>0</v>
      </c>
      <c r="M39" s="326">
        <f>BILL!M39</f>
        <v>0</v>
      </c>
      <c r="N39" s="325">
        <f>BILL!N39</f>
        <v>0</v>
      </c>
      <c r="O39" s="328">
        <f>BILL!O39</f>
        <v>0</v>
      </c>
      <c r="P39" s="296"/>
      <c r="Q39" s="294"/>
    </row>
    <row r="40" spans="1:17" s="295" customFormat="1" ht="14.1" customHeight="1" x14ac:dyDescent="0.2">
      <c r="A40" s="321" t="str">
        <f>BILL!A40</f>
        <v/>
      </c>
      <c r="B40" s="321">
        <f>BILL!B40</f>
        <v>0</v>
      </c>
      <c r="C40" s="606">
        <f>BILL!C40</f>
        <v>0</v>
      </c>
      <c r="D40" s="607"/>
      <c r="E40" s="322">
        <f>BILL!E40</f>
        <v>0</v>
      </c>
      <c r="F40" s="323">
        <f>BILL!F40</f>
        <v>0</v>
      </c>
      <c r="G40" s="416">
        <f>BILL!G40</f>
        <v>0</v>
      </c>
      <c r="H40" s="325">
        <f>BILL!H40</f>
        <v>0</v>
      </c>
      <c r="I40" s="324">
        <f>BILL!I40</f>
        <v>0</v>
      </c>
      <c r="J40" s="325">
        <f>BILL!J40</f>
        <v>0</v>
      </c>
      <c r="K40" s="326">
        <f>BILL!K40</f>
        <v>0</v>
      </c>
      <c r="L40" s="325">
        <f>BILL!L40</f>
        <v>0</v>
      </c>
      <c r="M40" s="326">
        <f>BILL!M40</f>
        <v>0</v>
      </c>
      <c r="N40" s="325">
        <f>BILL!N40</f>
        <v>0</v>
      </c>
      <c r="O40" s="328">
        <f>BILL!O40</f>
        <v>0</v>
      </c>
      <c r="P40" s="296"/>
      <c r="Q40" s="294"/>
    </row>
    <row r="41" spans="1:17" s="295" customFormat="1" ht="14.1" customHeight="1" x14ac:dyDescent="0.2">
      <c r="A41" s="321" t="str">
        <f>BILL!A41</f>
        <v/>
      </c>
      <c r="B41" s="321">
        <f>BILL!B41</f>
        <v>0</v>
      </c>
      <c r="C41" s="606">
        <f>BILL!C41</f>
        <v>0</v>
      </c>
      <c r="D41" s="607"/>
      <c r="E41" s="322">
        <f>BILL!E41</f>
        <v>0</v>
      </c>
      <c r="F41" s="323">
        <f>BILL!F41</f>
        <v>0</v>
      </c>
      <c r="G41" s="416">
        <f>BILL!G41</f>
        <v>0</v>
      </c>
      <c r="H41" s="325">
        <f>BILL!H41</f>
        <v>0</v>
      </c>
      <c r="I41" s="324">
        <f>BILL!I41</f>
        <v>0</v>
      </c>
      <c r="J41" s="325">
        <f>BILL!J41</f>
        <v>0</v>
      </c>
      <c r="K41" s="326">
        <f>BILL!K41</f>
        <v>0</v>
      </c>
      <c r="L41" s="325">
        <f>BILL!L41</f>
        <v>0</v>
      </c>
      <c r="M41" s="326">
        <f>BILL!M41</f>
        <v>0</v>
      </c>
      <c r="N41" s="325">
        <f>BILL!N41</f>
        <v>0</v>
      </c>
      <c r="O41" s="328">
        <f>BILL!O41</f>
        <v>0</v>
      </c>
      <c r="P41" s="296"/>
      <c r="Q41" s="294"/>
    </row>
    <row r="42" spans="1:17" s="295" customFormat="1" ht="14.1" customHeight="1" x14ac:dyDescent="0.2">
      <c r="A42" s="321" t="str">
        <f>BILL!A42</f>
        <v/>
      </c>
      <c r="B42" s="321">
        <f>BILL!B42</f>
        <v>0</v>
      </c>
      <c r="C42" s="606">
        <f>BILL!C42</f>
        <v>0</v>
      </c>
      <c r="D42" s="607"/>
      <c r="E42" s="322">
        <f>BILL!E42</f>
        <v>0</v>
      </c>
      <c r="F42" s="323">
        <f>BILL!F42</f>
        <v>0</v>
      </c>
      <c r="G42" s="416">
        <f>BILL!G42</f>
        <v>0</v>
      </c>
      <c r="H42" s="325">
        <f>BILL!H42</f>
        <v>0</v>
      </c>
      <c r="I42" s="324">
        <f>BILL!I42</f>
        <v>0</v>
      </c>
      <c r="J42" s="325">
        <f>BILL!J42</f>
        <v>0</v>
      </c>
      <c r="K42" s="326">
        <f>BILL!K42</f>
        <v>0</v>
      </c>
      <c r="L42" s="325">
        <f>BILL!L42</f>
        <v>0</v>
      </c>
      <c r="M42" s="326">
        <f>BILL!M42</f>
        <v>0</v>
      </c>
      <c r="N42" s="325">
        <f>BILL!N42</f>
        <v>0</v>
      </c>
      <c r="O42" s="328">
        <f>BILL!O42</f>
        <v>0</v>
      </c>
      <c r="P42" s="296"/>
      <c r="Q42" s="294"/>
    </row>
    <row r="43" spans="1:17" s="295" customFormat="1" ht="14.1" customHeight="1" x14ac:dyDescent="0.2">
      <c r="A43" s="321" t="str">
        <f>BILL!A43</f>
        <v/>
      </c>
      <c r="B43" s="321">
        <f>BILL!B43</f>
        <v>0</v>
      </c>
      <c r="C43" s="606">
        <f>BILL!C43</f>
        <v>0</v>
      </c>
      <c r="D43" s="607"/>
      <c r="E43" s="322">
        <f>BILL!E43</f>
        <v>0</v>
      </c>
      <c r="F43" s="323">
        <f>BILL!F43</f>
        <v>0</v>
      </c>
      <c r="G43" s="416">
        <f>BILL!G43</f>
        <v>0</v>
      </c>
      <c r="H43" s="325">
        <f>BILL!H43</f>
        <v>0</v>
      </c>
      <c r="I43" s="324">
        <f>BILL!I43</f>
        <v>0</v>
      </c>
      <c r="J43" s="325">
        <f>BILL!J43</f>
        <v>0</v>
      </c>
      <c r="K43" s="326">
        <f>BILL!K43</f>
        <v>0</v>
      </c>
      <c r="L43" s="325">
        <f>BILL!L43</f>
        <v>0</v>
      </c>
      <c r="M43" s="326">
        <f>BILL!M43</f>
        <v>0</v>
      </c>
      <c r="N43" s="325">
        <f>BILL!N43</f>
        <v>0</v>
      </c>
      <c r="O43" s="328">
        <f>BILL!O43</f>
        <v>0</v>
      </c>
      <c r="P43" s="296"/>
      <c r="Q43" s="294"/>
    </row>
    <row r="44" spans="1:17" ht="12" customHeight="1" x14ac:dyDescent="0.2">
      <c r="A44" s="288"/>
      <c r="B44" s="292"/>
      <c r="C44" s="565"/>
      <c r="D44" s="565"/>
      <c r="E44" s="293"/>
      <c r="F44" s="289"/>
      <c r="G44" s="290"/>
      <c r="H44" s="301"/>
      <c r="I44" s="290"/>
      <c r="J44" s="301"/>
      <c r="K44" s="291"/>
      <c r="L44" s="301"/>
      <c r="M44" s="291"/>
      <c r="N44" s="301"/>
      <c r="O44" s="316"/>
      <c r="P44" s="287"/>
      <c r="Q44" s="267"/>
    </row>
    <row r="45" spans="1:17" s="343" customFormat="1" ht="12.75" customHeight="1" x14ac:dyDescent="0.2">
      <c r="A45" s="566" t="s">
        <v>25</v>
      </c>
      <c r="B45" s="567"/>
      <c r="C45" s="334">
        <f>BILL!C45</f>
        <v>0</v>
      </c>
      <c r="D45" s="568" t="s">
        <v>54</v>
      </c>
      <c r="E45" s="568"/>
      <c r="F45" s="569">
        <f>BILL!F45</f>
        <v>0</v>
      </c>
      <c r="G45" s="569"/>
      <c r="H45" s="335"/>
      <c r="I45" s="336"/>
      <c r="J45" s="337"/>
      <c r="K45" s="338"/>
      <c r="L45" s="339"/>
      <c r="M45" s="340"/>
      <c r="N45" s="339"/>
      <c r="O45" s="339"/>
      <c r="P45" s="341"/>
      <c r="Q45" s="342"/>
    </row>
    <row r="46" spans="1:17" s="343" customFormat="1" ht="7.5" customHeight="1" x14ac:dyDescent="0.2">
      <c r="A46" s="344"/>
      <c r="B46" s="381"/>
      <c r="C46" s="381"/>
      <c r="D46" s="382"/>
      <c r="E46" s="608" t="s">
        <v>165</v>
      </c>
      <c r="F46" s="610" t="s">
        <v>107</v>
      </c>
      <c r="G46" s="610"/>
      <c r="H46" s="612" t="s">
        <v>167</v>
      </c>
      <c r="I46" s="612"/>
      <c r="J46" s="614" t="s">
        <v>168</v>
      </c>
      <c r="K46" s="578" t="s">
        <v>102</v>
      </c>
      <c r="L46" s="579"/>
      <c r="M46" s="579"/>
      <c r="N46" s="582">
        <f>BILL!N46</f>
        <v>0</v>
      </c>
      <c r="O46" s="582"/>
      <c r="P46" s="345"/>
      <c r="Q46" s="342"/>
    </row>
    <row r="47" spans="1:17" s="343" customFormat="1" ht="9" customHeight="1" x14ac:dyDescent="0.2">
      <c r="A47" s="344"/>
      <c r="B47" s="542" t="s">
        <v>95</v>
      </c>
      <c r="C47" s="542"/>
      <c r="D47" s="583" t="str">
        <f>BILL!D47</f>
        <v>BankXXXXX</v>
      </c>
      <c r="E47" s="609"/>
      <c r="F47" s="611"/>
      <c r="G47" s="611"/>
      <c r="H47" s="613"/>
      <c r="I47" s="613"/>
      <c r="J47" s="615"/>
      <c r="K47" s="580"/>
      <c r="L47" s="581"/>
      <c r="M47" s="581"/>
      <c r="N47" s="582"/>
      <c r="O47" s="582"/>
      <c r="P47" s="345"/>
      <c r="Q47" s="342"/>
    </row>
    <row r="48" spans="1:17" s="343" customFormat="1" ht="6.75" customHeight="1" x14ac:dyDescent="0.2">
      <c r="A48" s="344"/>
      <c r="B48" s="542"/>
      <c r="C48" s="542"/>
      <c r="D48" s="583"/>
      <c r="E48" s="616" t="s">
        <v>170</v>
      </c>
      <c r="F48" s="618">
        <f>BILL!F48</f>
        <v>0</v>
      </c>
      <c r="G48" s="618"/>
      <c r="H48" s="618">
        <f>BILL!H48</f>
        <v>0</v>
      </c>
      <c r="I48" s="618"/>
      <c r="J48" s="620">
        <f>BILL!J48</f>
        <v>0</v>
      </c>
      <c r="K48" s="580"/>
      <c r="L48" s="581"/>
      <c r="M48" s="581"/>
      <c r="N48" s="582"/>
      <c r="O48" s="582"/>
      <c r="P48" s="345"/>
      <c r="Q48" s="342"/>
    </row>
    <row r="49" spans="1:17" s="343" customFormat="1" ht="7.5" customHeight="1" x14ac:dyDescent="0.2">
      <c r="A49" s="344"/>
      <c r="B49" s="589" t="s">
        <v>96</v>
      </c>
      <c r="C49" s="589"/>
      <c r="D49" s="590" t="str">
        <f>BILL!D49</f>
        <v>Firm Name</v>
      </c>
      <c r="E49" s="617"/>
      <c r="F49" s="619"/>
      <c r="G49" s="619"/>
      <c r="H49" s="619"/>
      <c r="I49" s="619"/>
      <c r="J49" s="621"/>
      <c r="K49" s="580" t="s">
        <v>101</v>
      </c>
      <c r="L49" s="581"/>
      <c r="M49" s="581"/>
      <c r="N49" s="582">
        <f>BILL!N49</f>
        <v>0</v>
      </c>
      <c r="O49" s="582"/>
      <c r="P49" s="345"/>
      <c r="Q49" s="342"/>
    </row>
    <row r="50" spans="1:17" s="343" customFormat="1" ht="6" customHeight="1" x14ac:dyDescent="0.2">
      <c r="A50" s="344"/>
      <c r="B50" s="589"/>
      <c r="C50" s="589"/>
      <c r="D50" s="590"/>
      <c r="E50" s="622" t="s">
        <v>162</v>
      </c>
      <c r="F50" s="619">
        <f>BILL!F50</f>
        <v>0</v>
      </c>
      <c r="G50" s="619"/>
      <c r="H50" s="619">
        <f>BILL!H50</f>
        <v>0</v>
      </c>
      <c r="I50" s="619"/>
      <c r="J50" s="621">
        <f>BILL!J50</f>
        <v>0</v>
      </c>
      <c r="K50" s="580"/>
      <c r="L50" s="581"/>
      <c r="M50" s="581"/>
      <c r="N50" s="582"/>
      <c r="O50" s="582"/>
      <c r="P50" s="345"/>
      <c r="Q50" s="342"/>
    </row>
    <row r="51" spans="1:17" s="343" customFormat="1" ht="6.75" customHeight="1" x14ac:dyDescent="0.2">
      <c r="A51" s="344"/>
      <c r="B51" s="589" t="s">
        <v>98</v>
      </c>
      <c r="C51" s="589"/>
      <c r="D51" s="591" t="str">
        <f>BILL!D51</f>
        <v>XXXXXXXXXXXX</v>
      </c>
      <c r="E51" s="617"/>
      <c r="F51" s="619"/>
      <c r="G51" s="619"/>
      <c r="H51" s="619"/>
      <c r="I51" s="619"/>
      <c r="J51" s="621"/>
      <c r="K51" s="580"/>
      <c r="L51" s="581"/>
      <c r="M51" s="581"/>
      <c r="N51" s="582"/>
      <c r="O51" s="582"/>
      <c r="P51" s="345"/>
      <c r="Q51" s="342"/>
    </row>
    <row r="52" spans="1:17" s="343" customFormat="1" ht="6" customHeight="1" x14ac:dyDescent="0.2">
      <c r="A52" s="344"/>
      <c r="B52" s="589"/>
      <c r="C52" s="589"/>
      <c r="D52" s="591"/>
      <c r="E52" s="622" t="s">
        <v>163</v>
      </c>
      <c r="F52" s="619">
        <f>BILL!F52</f>
        <v>0</v>
      </c>
      <c r="G52" s="619"/>
      <c r="H52" s="619">
        <f>BILL!H52</f>
        <v>0</v>
      </c>
      <c r="I52" s="619"/>
      <c r="J52" s="621">
        <f>BILL!J52</f>
        <v>0</v>
      </c>
      <c r="K52" s="580" t="s">
        <v>100</v>
      </c>
      <c r="L52" s="581"/>
      <c r="M52" s="581"/>
      <c r="N52" s="582">
        <f>BILL!N52</f>
        <v>0</v>
      </c>
      <c r="O52" s="582"/>
      <c r="P52" s="345"/>
      <c r="Q52" s="342"/>
    </row>
    <row r="53" spans="1:17" s="343" customFormat="1" ht="6.75" customHeight="1" x14ac:dyDescent="0.2">
      <c r="A53" s="344"/>
      <c r="B53" s="589" t="s">
        <v>97</v>
      </c>
      <c r="C53" s="589"/>
      <c r="D53" s="590" t="str">
        <f>BILL!D53</f>
        <v>IFSCXXXXXX</v>
      </c>
      <c r="E53" s="617"/>
      <c r="F53" s="619"/>
      <c r="G53" s="619"/>
      <c r="H53" s="619"/>
      <c r="I53" s="619"/>
      <c r="J53" s="621"/>
      <c r="K53" s="580"/>
      <c r="L53" s="581"/>
      <c r="M53" s="581"/>
      <c r="N53" s="582"/>
      <c r="O53" s="582"/>
      <c r="P53" s="345"/>
      <c r="Q53" s="342"/>
    </row>
    <row r="54" spans="1:17" s="343" customFormat="1" ht="6" customHeight="1" x14ac:dyDescent="0.2">
      <c r="A54" s="344"/>
      <c r="B54" s="589"/>
      <c r="C54" s="589"/>
      <c r="D54" s="590"/>
      <c r="E54" s="622" t="s">
        <v>164</v>
      </c>
      <c r="F54" s="619">
        <f>BILL!F54</f>
        <v>0</v>
      </c>
      <c r="G54" s="619"/>
      <c r="H54" s="619">
        <f>BILL!H54</f>
        <v>0</v>
      </c>
      <c r="I54" s="619"/>
      <c r="J54" s="621">
        <f>BILL!J54</f>
        <v>0</v>
      </c>
      <c r="K54" s="580"/>
      <c r="L54" s="581"/>
      <c r="M54" s="581"/>
      <c r="N54" s="582"/>
      <c r="O54" s="582"/>
      <c r="P54" s="345"/>
      <c r="Q54" s="342"/>
    </row>
    <row r="55" spans="1:17" s="343" customFormat="1" ht="6" customHeight="1" x14ac:dyDescent="0.2">
      <c r="A55" s="344"/>
      <c r="B55" s="589" t="s">
        <v>99</v>
      </c>
      <c r="C55" s="589"/>
      <c r="D55" s="590" t="str">
        <f>BILL!D55</f>
        <v>BranchXXXX</v>
      </c>
      <c r="E55" s="617"/>
      <c r="F55" s="619"/>
      <c r="G55" s="619"/>
      <c r="H55" s="619"/>
      <c r="I55" s="619"/>
      <c r="J55" s="621"/>
      <c r="K55" s="580" t="s">
        <v>91</v>
      </c>
      <c r="L55" s="581"/>
      <c r="M55" s="581"/>
      <c r="N55" s="582">
        <f>BILL!N55</f>
        <v>0</v>
      </c>
      <c r="O55" s="582"/>
      <c r="P55" s="345"/>
      <c r="Q55" s="342"/>
    </row>
    <row r="56" spans="1:17" s="343" customFormat="1" ht="6.75" customHeight="1" x14ac:dyDescent="0.2">
      <c r="A56" s="344"/>
      <c r="B56" s="589"/>
      <c r="C56" s="589"/>
      <c r="D56" s="590"/>
      <c r="E56" s="385"/>
      <c r="F56" s="389"/>
      <c r="G56" s="390"/>
      <c r="H56" s="393"/>
      <c r="I56" s="390"/>
      <c r="J56" s="386"/>
      <c r="K56" s="580"/>
      <c r="L56" s="581"/>
      <c r="M56" s="581"/>
      <c r="N56" s="582"/>
      <c r="O56" s="582"/>
      <c r="P56" s="345"/>
      <c r="Q56" s="342"/>
    </row>
    <row r="57" spans="1:17" s="343" customFormat="1" ht="9.75" customHeight="1" x14ac:dyDescent="0.2">
      <c r="A57" s="344"/>
      <c r="B57" s="597"/>
      <c r="C57" s="597"/>
      <c r="D57" s="346"/>
      <c r="E57" s="387"/>
      <c r="F57" s="391"/>
      <c r="G57" s="392"/>
      <c r="H57" s="394"/>
      <c r="I57" s="392"/>
      <c r="J57" s="388"/>
      <c r="K57" s="594"/>
      <c r="L57" s="595"/>
      <c r="M57" s="595"/>
      <c r="N57" s="582"/>
      <c r="O57" s="582"/>
      <c r="P57" s="347"/>
      <c r="Q57" s="342"/>
    </row>
    <row r="58" spans="1:17" s="350" customFormat="1" ht="12" customHeight="1" x14ac:dyDescent="0.2">
      <c r="A58" s="348"/>
      <c r="B58" s="598" t="s">
        <v>40</v>
      </c>
      <c r="C58" s="598"/>
      <c r="D58" s="567" t="str">
        <f>BILL!D58</f>
        <v/>
      </c>
      <c r="E58" s="567"/>
      <c r="F58" s="567"/>
      <c r="G58" s="567"/>
      <c r="H58" s="567"/>
      <c r="I58" s="567"/>
      <c r="J58" s="567"/>
      <c r="K58" s="567"/>
      <c r="L58" s="567"/>
      <c r="M58" s="567"/>
      <c r="N58" s="567"/>
      <c r="O58" s="567"/>
      <c r="P58" s="599"/>
      <c r="Q58" s="349"/>
    </row>
    <row r="59" spans="1:17" s="343" customFormat="1" ht="3.75" customHeight="1" x14ac:dyDescent="0.2">
      <c r="A59" s="351"/>
      <c r="B59" s="352"/>
      <c r="C59" s="353"/>
      <c r="D59" s="353"/>
      <c r="E59" s="353"/>
      <c r="F59" s="570" t="s">
        <v>93</v>
      </c>
      <c r="G59" s="572"/>
      <c r="H59" s="572"/>
      <c r="I59" s="572"/>
      <c r="J59" s="600"/>
      <c r="K59" s="570" t="s">
        <v>42</v>
      </c>
      <c r="L59" s="572"/>
      <c r="M59" s="572"/>
      <c r="N59" s="572"/>
      <c r="O59" s="572"/>
      <c r="P59" s="354"/>
      <c r="Q59" s="342"/>
    </row>
    <row r="60" spans="1:17" s="343" customFormat="1" ht="11.25" customHeight="1" x14ac:dyDescent="0.2">
      <c r="A60" s="355"/>
      <c r="F60" s="571"/>
      <c r="G60" s="573"/>
      <c r="H60" s="573"/>
      <c r="I60" s="573"/>
      <c r="J60" s="601"/>
      <c r="K60" s="571"/>
      <c r="L60" s="573"/>
      <c r="M60" s="573"/>
      <c r="N60" s="573"/>
      <c r="O60" s="573"/>
      <c r="P60" s="356"/>
      <c r="Q60" s="342"/>
    </row>
    <row r="61" spans="1:17" s="343" customFormat="1" ht="11.25" customHeight="1" x14ac:dyDescent="0.2">
      <c r="A61" s="355"/>
      <c r="B61" s="592" t="s">
        <v>48</v>
      </c>
      <c r="C61" s="592"/>
      <c r="D61" s="592"/>
      <c r="E61" s="592"/>
      <c r="F61" s="357"/>
      <c r="G61" s="358"/>
      <c r="H61" s="359"/>
      <c r="I61" s="342"/>
      <c r="J61" s="360"/>
      <c r="K61" s="361"/>
      <c r="L61" s="359"/>
      <c r="M61" s="362"/>
      <c r="N61" s="359"/>
      <c r="O61" s="359"/>
      <c r="P61" s="363"/>
      <c r="Q61" s="342"/>
    </row>
    <row r="62" spans="1:17" s="343" customFormat="1" ht="11.25" customHeight="1" x14ac:dyDescent="0.2">
      <c r="A62" s="355" t="s">
        <v>50</v>
      </c>
      <c r="B62" s="583" t="s">
        <v>49</v>
      </c>
      <c r="C62" s="583"/>
      <c r="D62" s="583"/>
      <c r="E62" s="583"/>
      <c r="F62" s="357"/>
      <c r="G62" s="358"/>
      <c r="H62" s="359"/>
      <c r="I62" s="342"/>
      <c r="J62" s="360"/>
      <c r="K62" s="361"/>
      <c r="L62" s="359"/>
      <c r="M62" s="362"/>
      <c r="N62" s="359"/>
      <c r="O62" s="359"/>
      <c r="P62" s="364"/>
      <c r="Q62" s="342"/>
    </row>
    <row r="63" spans="1:17" s="343" customFormat="1" ht="11.25" customHeight="1" x14ac:dyDescent="0.2">
      <c r="A63" s="355"/>
      <c r="B63" s="583" t="s">
        <v>171</v>
      </c>
      <c r="C63" s="583"/>
      <c r="D63" s="583"/>
      <c r="E63" s="583"/>
      <c r="F63" s="357"/>
      <c r="G63" s="358"/>
      <c r="H63" s="365"/>
      <c r="I63" s="317"/>
      <c r="J63" s="366"/>
      <c r="K63" s="361"/>
      <c r="L63" s="359"/>
      <c r="M63" s="362"/>
      <c r="N63" s="359"/>
      <c r="O63" s="359"/>
      <c r="P63" s="367"/>
      <c r="Q63" s="342"/>
    </row>
    <row r="64" spans="1:17" s="343" customFormat="1" ht="11.25" customHeight="1" x14ac:dyDescent="0.2">
      <c r="A64" s="355"/>
      <c r="B64" s="583" t="s">
        <v>172</v>
      </c>
      <c r="C64" s="583"/>
      <c r="D64" s="583"/>
      <c r="E64" s="583"/>
      <c r="F64" s="357"/>
      <c r="G64" s="358"/>
      <c r="H64" s="359"/>
      <c r="I64" s="342"/>
      <c r="J64" s="368"/>
      <c r="K64" s="369"/>
      <c r="L64" s="370"/>
      <c r="M64" s="371"/>
      <c r="N64" s="370"/>
      <c r="O64" s="370"/>
      <c r="P64" s="372"/>
      <c r="Q64" s="342"/>
    </row>
    <row r="65" spans="1:17" s="343" customFormat="1" ht="11.25" customHeight="1" x14ac:dyDescent="0.2">
      <c r="A65" s="373"/>
      <c r="B65" s="583" t="s">
        <v>52</v>
      </c>
      <c r="C65" s="583"/>
      <c r="D65" s="583"/>
      <c r="E65" s="583"/>
      <c r="F65" s="373"/>
      <c r="G65" s="342"/>
      <c r="H65" s="359"/>
      <c r="I65" s="342"/>
      <c r="J65" s="368"/>
      <c r="K65" s="369"/>
      <c r="L65" s="370"/>
      <c r="M65" s="371"/>
      <c r="N65" s="370"/>
      <c r="O65" s="370"/>
      <c r="P65" s="363"/>
      <c r="Q65" s="342"/>
    </row>
    <row r="66" spans="1:17" s="343" customFormat="1" ht="11.25" customHeight="1" x14ac:dyDescent="0.2">
      <c r="A66" s="373"/>
      <c r="B66" s="353"/>
      <c r="C66" s="353"/>
      <c r="D66" s="342"/>
      <c r="E66" s="353"/>
      <c r="F66" s="373"/>
      <c r="G66" s="342"/>
      <c r="H66" s="359"/>
      <c r="I66" s="342"/>
      <c r="J66" s="360"/>
      <c r="K66" s="361"/>
      <c r="L66" s="359"/>
      <c r="M66" s="362"/>
      <c r="N66" s="359"/>
      <c r="O66" s="359"/>
      <c r="P66" s="363"/>
      <c r="Q66" s="342"/>
    </row>
    <row r="67" spans="1:17" s="343" customFormat="1" ht="12.75" customHeight="1" x14ac:dyDescent="0.2">
      <c r="A67" s="374"/>
      <c r="B67" s="375"/>
      <c r="C67" s="375"/>
      <c r="D67" s="376"/>
      <c r="E67" s="375"/>
      <c r="F67" s="378"/>
      <c r="G67" s="379"/>
      <c r="H67" s="339"/>
      <c r="I67" s="593" t="s">
        <v>41</v>
      </c>
      <c r="J67" s="593"/>
      <c r="K67" s="593"/>
      <c r="L67" s="593"/>
      <c r="M67" s="593"/>
      <c r="N67" s="380"/>
      <c r="O67" s="380"/>
      <c r="P67" s="377"/>
      <c r="Q67" s="342"/>
    </row>
    <row r="68" spans="1:17" ht="9.75" customHeight="1" x14ac:dyDescent="0.2">
      <c r="A68" s="267"/>
      <c r="B68" s="271"/>
      <c r="C68" s="271"/>
      <c r="D68" s="267"/>
      <c r="E68" s="271"/>
      <c r="F68" s="267"/>
      <c r="G68" s="267"/>
      <c r="H68" s="302"/>
      <c r="I68" s="267"/>
      <c r="P68" s="267"/>
      <c r="Q68" s="267"/>
    </row>
    <row r="69" spans="1:17" ht="9.75" customHeight="1" x14ac:dyDescent="0.2">
      <c r="B69" s="269"/>
      <c r="C69" s="269"/>
      <c r="E69" s="269"/>
      <c r="H69" s="269"/>
      <c r="J69" s="269"/>
      <c r="K69" s="269"/>
      <c r="L69" s="269"/>
      <c r="M69" s="269"/>
      <c r="N69" s="269"/>
      <c r="O69" s="269"/>
    </row>
    <row r="70" spans="1:17" ht="9.75" customHeight="1" x14ac:dyDescent="0.2">
      <c r="B70" s="269"/>
      <c r="C70" s="269"/>
      <c r="E70" s="269"/>
      <c r="H70" s="269"/>
      <c r="J70" s="269"/>
      <c r="K70" s="269"/>
      <c r="L70" s="269"/>
      <c r="M70" s="269"/>
      <c r="N70" s="269"/>
      <c r="O70" s="269"/>
    </row>
    <row r="71" spans="1:17" ht="9.75" customHeight="1" x14ac:dyDescent="0.2">
      <c r="B71" s="269"/>
      <c r="C71" s="269"/>
      <c r="E71" s="269"/>
      <c r="H71" s="269"/>
      <c r="J71" s="269"/>
      <c r="K71" s="269"/>
      <c r="L71" s="269"/>
      <c r="M71" s="269"/>
      <c r="N71" s="269"/>
      <c r="O71" s="269"/>
    </row>
    <row r="72" spans="1:17" ht="9.75" customHeight="1" x14ac:dyDescent="0.2">
      <c r="B72" s="269"/>
      <c r="C72" s="269"/>
      <c r="E72" s="269"/>
      <c r="H72" s="269"/>
      <c r="J72" s="269"/>
      <c r="K72" s="269"/>
      <c r="L72" s="269"/>
      <c r="M72" s="269"/>
      <c r="N72" s="269"/>
      <c r="O72" s="269"/>
    </row>
    <row r="73" spans="1:17" ht="9.75" customHeight="1" x14ac:dyDescent="0.2">
      <c r="B73" s="269"/>
      <c r="C73" s="269"/>
      <c r="E73" s="269"/>
      <c r="H73" s="269"/>
      <c r="J73" s="269"/>
      <c r="K73" s="269"/>
      <c r="L73" s="269"/>
      <c r="M73" s="269"/>
      <c r="N73" s="269"/>
      <c r="O73" s="269"/>
    </row>
    <row r="74" spans="1:17" ht="9.75" customHeight="1" x14ac:dyDescent="0.2">
      <c r="B74" s="269"/>
      <c r="C74" s="269"/>
      <c r="E74" s="269"/>
      <c r="H74" s="269"/>
      <c r="J74" s="269"/>
      <c r="K74" s="269"/>
      <c r="L74" s="269"/>
      <c r="M74" s="269"/>
      <c r="N74" s="269"/>
      <c r="O74" s="269"/>
    </row>
    <row r="75" spans="1:17" ht="9.75" customHeight="1" x14ac:dyDescent="0.2">
      <c r="B75" s="269"/>
      <c r="C75" s="269"/>
      <c r="E75" s="269"/>
      <c r="H75" s="269"/>
      <c r="J75" s="269"/>
      <c r="K75" s="269"/>
      <c r="L75" s="269"/>
      <c r="M75" s="269"/>
      <c r="N75" s="269"/>
      <c r="O75" s="269"/>
    </row>
    <row r="76" spans="1:17" ht="9.75" customHeight="1" x14ac:dyDescent="0.2">
      <c r="B76" s="269"/>
      <c r="C76" s="269"/>
      <c r="E76" s="269"/>
      <c r="H76" s="269"/>
      <c r="J76" s="269"/>
      <c r="K76" s="269"/>
      <c r="L76" s="269"/>
      <c r="M76" s="269"/>
      <c r="N76" s="269"/>
      <c r="O76" s="269"/>
    </row>
    <row r="77" spans="1:17" ht="9.75" customHeight="1" x14ac:dyDescent="0.2">
      <c r="B77" s="269"/>
      <c r="C77" s="269"/>
      <c r="E77" s="269"/>
      <c r="H77" s="269"/>
      <c r="J77" s="269"/>
      <c r="K77" s="269"/>
      <c r="L77" s="269"/>
      <c r="M77" s="269"/>
      <c r="N77" s="269"/>
      <c r="O77" s="269"/>
    </row>
    <row r="78" spans="1:17" ht="9.75" customHeight="1" x14ac:dyDescent="0.2">
      <c r="B78" s="269"/>
      <c r="C78" s="269"/>
      <c r="E78" s="269"/>
      <c r="H78" s="269"/>
      <c r="J78" s="269"/>
      <c r="K78" s="269"/>
      <c r="L78" s="269"/>
      <c r="M78" s="269"/>
      <c r="N78" s="269"/>
      <c r="O78" s="269"/>
    </row>
    <row r="79" spans="1:17" ht="9.75" customHeight="1" x14ac:dyDescent="0.2">
      <c r="B79" s="269"/>
      <c r="C79" s="269"/>
      <c r="E79" s="269"/>
      <c r="H79" s="269"/>
      <c r="J79" s="269"/>
      <c r="K79" s="269"/>
      <c r="L79" s="269"/>
      <c r="M79" s="269"/>
      <c r="N79" s="269"/>
      <c r="O79" s="269"/>
    </row>
    <row r="80" spans="1:17" ht="9.75" customHeight="1" x14ac:dyDescent="0.2">
      <c r="B80" s="269"/>
      <c r="C80" s="269"/>
      <c r="E80" s="269"/>
      <c r="H80" s="269"/>
      <c r="J80" s="269"/>
      <c r="K80" s="269"/>
      <c r="L80" s="269"/>
      <c r="M80" s="269"/>
      <c r="N80" s="269"/>
      <c r="O80" s="269"/>
    </row>
    <row r="81" spans="2:15" ht="9.75" customHeight="1" x14ac:dyDescent="0.2">
      <c r="B81" s="269"/>
      <c r="C81" s="269"/>
      <c r="E81" s="269"/>
      <c r="H81" s="269"/>
      <c r="J81" s="269"/>
      <c r="K81" s="269"/>
      <c r="L81" s="269"/>
      <c r="M81" s="269"/>
      <c r="N81" s="269"/>
      <c r="O81" s="269"/>
    </row>
    <row r="82" spans="2:15" ht="9.75" customHeight="1" x14ac:dyDescent="0.2">
      <c r="B82" s="269"/>
      <c r="C82" s="269"/>
      <c r="E82" s="269"/>
      <c r="H82" s="269"/>
      <c r="J82" s="269"/>
      <c r="K82" s="269"/>
      <c r="L82" s="269"/>
      <c r="M82" s="269"/>
      <c r="N82" s="269"/>
      <c r="O82" s="269"/>
    </row>
    <row r="83" spans="2:15" ht="9.75" customHeight="1" x14ac:dyDescent="0.2">
      <c r="B83" s="269"/>
      <c r="C83" s="269"/>
      <c r="E83" s="269"/>
      <c r="H83" s="269"/>
      <c r="J83" s="269"/>
      <c r="K83" s="269"/>
      <c r="L83" s="269"/>
      <c r="M83" s="269"/>
      <c r="N83" s="269"/>
      <c r="O83" s="269"/>
    </row>
    <row r="84" spans="2:15" ht="9.75" customHeight="1" x14ac:dyDescent="0.2">
      <c r="B84" s="269"/>
      <c r="C84" s="269"/>
      <c r="E84" s="269"/>
      <c r="H84" s="269"/>
      <c r="J84" s="269"/>
      <c r="K84" s="269"/>
      <c r="L84" s="269"/>
      <c r="M84" s="269"/>
      <c r="N84" s="269"/>
      <c r="O84" s="269"/>
    </row>
    <row r="85" spans="2:15" ht="9.75" customHeight="1" x14ac:dyDescent="0.2">
      <c r="B85" s="269"/>
      <c r="C85" s="269"/>
      <c r="E85" s="269"/>
      <c r="H85" s="269"/>
      <c r="J85" s="269"/>
      <c r="K85" s="269"/>
      <c r="L85" s="269"/>
      <c r="M85" s="269"/>
      <c r="N85" s="269"/>
      <c r="O85" s="269"/>
    </row>
    <row r="86" spans="2:15" ht="9.75" customHeight="1" x14ac:dyDescent="0.2">
      <c r="B86" s="269"/>
      <c r="C86" s="269"/>
      <c r="E86" s="269"/>
      <c r="H86" s="269"/>
      <c r="J86" s="269"/>
      <c r="K86" s="269"/>
      <c r="L86" s="269"/>
      <c r="M86" s="269"/>
      <c r="N86" s="269"/>
      <c r="O86" s="269"/>
    </row>
    <row r="87" spans="2:15" ht="9.75" customHeight="1" x14ac:dyDescent="0.2">
      <c r="B87" s="269"/>
      <c r="C87" s="269"/>
      <c r="E87" s="269"/>
      <c r="H87" s="269"/>
      <c r="J87" s="269"/>
      <c r="K87" s="269"/>
      <c r="L87" s="269"/>
      <c r="M87" s="269"/>
      <c r="N87" s="269"/>
      <c r="O87" s="269"/>
    </row>
    <row r="88" spans="2:15" ht="9.75" customHeight="1" x14ac:dyDescent="0.2">
      <c r="B88" s="269"/>
      <c r="C88" s="269"/>
      <c r="E88" s="269"/>
      <c r="H88" s="269"/>
      <c r="J88" s="269"/>
      <c r="K88" s="269"/>
      <c r="L88" s="269"/>
      <c r="M88" s="269"/>
      <c r="N88" s="269"/>
      <c r="O88" s="269"/>
    </row>
    <row r="89" spans="2:15" ht="9.75" customHeight="1" x14ac:dyDescent="0.2">
      <c r="B89" s="269"/>
      <c r="C89" s="269"/>
      <c r="E89" s="269"/>
      <c r="H89" s="269"/>
      <c r="J89" s="269"/>
      <c r="K89" s="269"/>
      <c r="L89" s="269"/>
      <c r="M89" s="269"/>
      <c r="N89" s="269"/>
      <c r="O89" s="269"/>
    </row>
    <row r="90" spans="2:15" ht="9.75" customHeight="1" x14ac:dyDescent="0.2">
      <c r="B90" s="269"/>
      <c r="C90" s="269"/>
      <c r="E90" s="269"/>
      <c r="H90" s="269"/>
      <c r="J90" s="269"/>
      <c r="K90" s="269"/>
      <c r="L90" s="269"/>
      <c r="M90" s="269"/>
      <c r="N90" s="269"/>
      <c r="O90" s="269"/>
    </row>
    <row r="91" spans="2:15" ht="9.75" customHeight="1" x14ac:dyDescent="0.2">
      <c r="B91" s="269"/>
      <c r="C91" s="269"/>
      <c r="E91" s="269"/>
      <c r="H91" s="269"/>
      <c r="J91" s="269"/>
      <c r="K91" s="269"/>
      <c r="L91" s="269"/>
      <c r="M91" s="269"/>
      <c r="N91" s="269"/>
      <c r="O91" s="269"/>
    </row>
    <row r="92" spans="2:15" ht="9.75" customHeight="1" x14ac:dyDescent="0.2">
      <c r="B92" s="269"/>
      <c r="C92" s="269"/>
      <c r="E92" s="269"/>
      <c r="H92" s="269"/>
      <c r="J92" s="269"/>
      <c r="K92" s="269"/>
      <c r="L92" s="269"/>
      <c r="M92" s="269"/>
      <c r="N92" s="269"/>
      <c r="O92" s="269"/>
    </row>
    <row r="93" spans="2:15" ht="9.75" customHeight="1" x14ac:dyDescent="0.2">
      <c r="B93" s="269"/>
      <c r="C93" s="269"/>
      <c r="E93" s="269"/>
      <c r="H93" s="269"/>
      <c r="J93" s="269"/>
      <c r="K93" s="269"/>
      <c r="L93" s="269"/>
      <c r="M93" s="269"/>
      <c r="N93" s="269"/>
      <c r="O93" s="269"/>
    </row>
    <row r="94" spans="2:15" ht="9.75" customHeight="1" x14ac:dyDescent="0.2">
      <c r="B94" s="269"/>
      <c r="C94" s="269"/>
      <c r="E94" s="269"/>
      <c r="H94" s="269"/>
      <c r="J94" s="269"/>
      <c r="K94" s="269"/>
      <c r="L94" s="269"/>
      <c r="M94" s="269"/>
      <c r="N94" s="269"/>
      <c r="O94" s="269"/>
    </row>
    <row r="95" spans="2:15" ht="9.75" customHeight="1" x14ac:dyDescent="0.2">
      <c r="B95" s="269"/>
      <c r="C95" s="269"/>
      <c r="E95" s="269"/>
      <c r="H95" s="269"/>
      <c r="J95" s="269"/>
      <c r="K95" s="269"/>
      <c r="L95" s="269"/>
      <c r="M95" s="269"/>
      <c r="N95" s="269"/>
      <c r="O95" s="269"/>
    </row>
    <row r="96" spans="2:15" ht="9.75" customHeight="1" x14ac:dyDescent="0.2">
      <c r="B96" s="269"/>
      <c r="C96" s="269"/>
      <c r="E96" s="269"/>
      <c r="H96" s="269"/>
      <c r="J96" s="269"/>
      <c r="K96" s="269"/>
      <c r="L96" s="269"/>
      <c r="M96" s="269"/>
      <c r="N96" s="269"/>
      <c r="O96" s="269"/>
    </row>
    <row r="97" spans="2:15" ht="9.75" customHeight="1" x14ac:dyDescent="0.2">
      <c r="B97" s="269"/>
      <c r="C97" s="269"/>
      <c r="E97" s="269"/>
      <c r="H97" s="269"/>
      <c r="J97" s="269"/>
      <c r="K97" s="269"/>
      <c r="L97" s="269"/>
      <c r="M97" s="269"/>
      <c r="N97" s="269"/>
      <c r="O97" s="269"/>
    </row>
    <row r="98" spans="2:15" ht="9.75" customHeight="1" x14ac:dyDescent="0.2">
      <c r="B98" s="269"/>
      <c r="C98" s="269"/>
      <c r="E98" s="269"/>
      <c r="H98" s="269"/>
      <c r="J98" s="269"/>
      <c r="K98" s="269"/>
      <c r="L98" s="269"/>
      <c r="M98" s="269"/>
      <c r="N98" s="269"/>
      <c r="O98" s="269"/>
    </row>
    <row r="99" spans="2:15" ht="9.75" customHeight="1" x14ac:dyDescent="0.2">
      <c r="B99" s="269"/>
      <c r="C99" s="269"/>
      <c r="E99" s="269"/>
      <c r="H99" s="269"/>
      <c r="J99" s="269"/>
      <c r="K99" s="269"/>
      <c r="L99" s="269"/>
      <c r="M99" s="269"/>
      <c r="N99" s="269"/>
      <c r="O99" s="269"/>
    </row>
    <row r="100" spans="2:15" ht="9.75" customHeight="1" x14ac:dyDescent="0.2">
      <c r="B100" s="269"/>
      <c r="C100" s="269"/>
      <c r="E100" s="269"/>
      <c r="H100" s="269"/>
      <c r="J100" s="269"/>
      <c r="K100" s="269"/>
      <c r="L100" s="269"/>
      <c r="M100" s="269"/>
      <c r="N100" s="269"/>
      <c r="O100" s="269"/>
    </row>
    <row r="101" spans="2:15" ht="9.75" customHeight="1" x14ac:dyDescent="0.2">
      <c r="B101" s="269"/>
      <c r="C101" s="269"/>
      <c r="E101" s="269"/>
      <c r="H101" s="269"/>
      <c r="J101" s="269"/>
      <c r="K101" s="269"/>
      <c r="L101" s="269"/>
      <c r="M101" s="269"/>
      <c r="N101" s="269"/>
      <c r="O101" s="269"/>
    </row>
    <row r="102" spans="2:15" ht="9.75" customHeight="1" x14ac:dyDescent="0.2">
      <c r="B102" s="269"/>
      <c r="C102" s="269"/>
      <c r="E102" s="269"/>
      <c r="H102" s="269"/>
      <c r="J102" s="269"/>
      <c r="K102" s="269"/>
      <c r="L102" s="269"/>
      <c r="M102" s="269"/>
      <c r="N102" s="269"/>
      <c r="O102" s="269"/>
    </row>
    <row r="103" spans="2:15" ht="9.75" customHeight="1" x14ac:dyDescent="0.2">
      <c r="B103" s="269"/>
      <c r="C103" s="269"/>
      <c r="E103" s="269"/>
      <c r="H103" s="269"/>
      <c r="J103" s="269"/>
      <c r="K103" s="269"/>
      <c r="L103" s="269"/>
      <c r="M103" s="269"/>
      <c r="N103" s="269"/>
      <c r="O103" s="269"/>
    </row>
    <row r="104" spans="2:15" ht="9.75" customHeight="1" x14ac:dyDescent="0.2">
      <c r="B104" s="269"/>
      <c r="C104" s="269"/>
      <c r="E104" s="269"/>
      <c r="H104" s="269"/>
      <c r="J104" s="269"/>
      <c r="K104" s="269"/>
      <c r="L104" s="269"/>
      <c r="M104" s="269"/>
      <c r="N104" s="269"/>
      <c r="O104" s="269"/>
    </row>
    <row r="105" spans="2:15" ht="9.75" customHeight="1" x14ac:dyDescent="0.2">
      <c r="B105" s="269"/>
      <c r="C105" s="269"/>
      <c r="E105" s="269"/>
      <c r="H105" s="269"/>
      <c r="J105" s="269"/>
      <c r="K105" s="269"/>
      <c r="L105" s="269"/>
      <c r="M105" s="269"/>
      <c r="N105" s="269"/>
      <c r="O105" s="269"/>
    </row>
    <row r="106" spans="2:15" ht="9.75" customHeight="1" x14ac:dyDescent="0.2">
      <c r="B106" s="269"/>
      <c r="C106" s="269"/>
      <c r="E106" s="269"/>
      <c r="H106" s="269"/>
      <c r="J106" s="269"/>
      <c r="K106" s="269"/>
      <c r="L106" s="269"/>
      <c r="M106" s="269"/>
      <c r="N106" s="269"/>
      <c r="O106" s="269"/>
    </row>
    <row r="107" spans="2:15" ht="9.75" customHeight="1" x14ac:dyDescent="0.2">
      <c r="B107" s="269"/>
      <c r="C107" s="269"/>
      <c r="E107" s="269"/>
      <c r="H107" s="269"/>
      <c r="J107" s="269"/>
      <c r="K107" s="269"/>
      <c r="L107" s="269"/>
      <c r="M107" s="269"/>
      <c r="N107" s="269"/>
      <c r="O107" s="269"/>
    </row>
    <row r="108" spans="2:15" ht="9.75" customHeight="1" x14ac:dyDescent="0.2">
      <c r="B108" s="269"/>
      <c r="C108" s="269"/>
      <c r="E108" s="269"/>
      <c r="H108" s="269"/>
      <c r="J108" s="269"/>
      <c r="K108" s="269"/>
      <c r="L108" s="269"/>
      <c r="M108" s="269"/>
      <c r="N108" s="269"/>
      <c r="O108" s="269"/>
    </row>
    <row r="109" spans="2:15" ht="9.75" customHeight="1" x14ac:dyDescent="0.2">
      <c r="B109" s="269"/>
      <c r="C109" s="269"/>
      <c r="E109" s="269"/>
      <c r="H109" s="269"/>
      <c r="J109" s="269"/>
      <c r="K109" s="269"/>
      <c r="L109" s="269"/>
      <c r="M109" s="269"/>
      <c r="N109" s="269"/>
      <c r="O109" s="269"/>
    </row>
    <row r="110" spans="2:15" ht="9.75" customHeight="1" x14ac:dyDescent="0.2">
      <c r="B110" s="269"/>
      <c r="C110" s="269"/>
      <c r="E110" s="269"/>
      <c r="H110" s="269"/>
      <c r="J110" s="269"/>
      <c r="K110" s="269"/>
      <c r="L110" s="269"/>
      <c r="M110" s="269"/>
      <c r="N110" s="269"/>
      <c r="O110" s="269"/>
    </row>
    <row r="111" spans="2:15" ht="9.75" customHeight="1" x14ac:dyDescent="0.2">
      <c r="B111" s="269"/>
      <c r="C111" s="269"/>
      <c r="E111" s="269"/>
      <c r="H111" s="269"/>
      <c r="J111" s="269"/>
      <c r="K111" s="269"/>
      <c r="L111" s="269"/>
      <c r="M111" s="269"/>
      <c r="N111" s="269"/>
      <c r="O111" s="269"/>
    </row>
    <row r="112" spans="2:15" ht="9.75" customHeight="1" x14ac:dyDescent="0.2">
      <c r="B112" s="269"/>
      <c r="C112" s="269"/>
      <c r="E112" s="269"/>
      <c r="H112" s="269"/>
      <c r="J112" s="269"/>
      <c r="K112" s="269"/>
      <c r="L112" s="269"/>
      <c r="M112" s="269"/>
      <c r="N112" s="269"/>
      <c r="O112" s="269"/>
    </row>
    <row r="113" spans="2:15" ht="9.75" customHeight="1" x14ac:dyDescent="0.2">
      <c r="B113" s="269"/>
      <c r="C113" s="269"/>
      <c r="E113" s="269"/>
      <c r="H113" s="269"/>
      <c r="J113" s="269"/>
      <c r="K113" s="269"/>
      <c r="L113" s="269"/>
      <c r="M113" s="269"/>
      <c r="N113" s="269"/>
      <c r="O113" s="269"/>
    </row>
    <row r="114" spans="2:15" ht="9.75" customHeight="1" x14ac:dyDescent="0.2">
      <c r="B114" s="269"/>
      <c r="C114" s="269"/>
      <c r="E114" s="269"/>
      <c r="H114" s="269"/>
      <c r="J114" s="269"/>
      <c r="K114" s="269"/>
      <c r="L114" s="269"/>
      <c r="M114" s="269"/>
      <c r="N114" s="269"/>
      <c r="O114" s="269"/>
    </row>
    <row r="115" spans="2:15" ht="9.75" customHeight="1" x14ac:dyDescent="0.2">
      <c r="B115" s="269"/>
      <c r="C115" s="269"/>
      <c r="E115" s="269"/>
      <c r="H115" s="269"/>
      <c r="J115" s="269"/>
      <c r="K115" s="269"/>
      <c r="L115" s="269"/>
      <c r="M115" s="269"/>
      <c r="N115" s="269"/>
      <c r="O115" s="269"/>
    </row>
    <row r="116" spans="2:15" ht="9.75" customHeight="1" x14ac:dyDescent="0.2">
      <c r="B116" s="269"/>
      <c r="C116" s="269"/>
      <c r="E116" s="269"/>
      <c r="H116" s="269"/>
      <c r="J116" s="269"/>
      <c r="K116" s="269"/>
      <c r="L116" s="269"/>
      <c r="M116" s="269"/>
      <c r="N116" s="269"/>
      <c r="O116" s="269"/>
    </row>
    <row r="117" spans="2:15" ht="9.75" customHeight="1" x14ac:dyDescent="0.2">
      <c r="B117" s="269"/>
      <c r="C117" s="269"/>
      <c r="E117" s="269"/>
      <c r="H117" s="269"/>
      <c r="J117" s="269"/>
      <c r="K117" s="269"/>
      <c r="L117" s="269"/>
      <c r="M117" s="269"/>
      <c r="N117" s="269"/>
      <c r="O117" s="269"/>
    </row>
    <row r="118" spans="2:15" ht="9.75" customHeight="1" x14ac:dyDescent="0.2">
      <c r="B118" s="269"/>
      <c r="C118" s="269"/>
      <c r="E118" s="269"/>
      <c r="H118" s="269"/>
      <c r="J118" s="269"/>
      <c r="K118" s="269"/>
      <c r="L118" s="269"/>
      <c r="M118" s="269"/>
      <c r="N118" s="269"/>
      <c r="O118" s="269"/>
    </row>
    <row r="119" spans="2:15" ht="9.75" customHeight="1" x14ac:dyDescent="0.2">
      <c r="B119" s="269"/>
      <c r="C119" s="269"/>
      <c r="E119" s="269"/>
      <c r="H119" s="269"/>
      <c r="J119" s="269"/>
      <c r="K119" s="269"/>
      <c r="L119" s="269"/>
      <c r="M119" s="269"/>
      <c r="N119" s="269"/>
      <c r="O119" s="269"/>
    </row>
    <row r="120" spans="2:15" ht="9.75" customHeight="1" x14ac:dyDescent="0.2">
      <c r="B120" s="269"/>
      <c r="C120" s="269"/>
      <c r="E120" s="269"/>
      <c r="H120" s="269"/>
      <c r="J120" s="269"/>
      <c r="K120" s="269"/>
      <c r="L120" s="269"/>
      <c r="M120" s="269"/>
      <c r="N120" s="269"/>
      <c r="O120" s="269"/>
    </row>
    <row r="121" spans="2:15" ht="9.75" customHeight="1" x14ac:dyDescent="0.2">
      <c r="B121" s="269"/>
      <c r="C121" s="269"/>
      <c r="E121" s="269"/>
      <c r="H121" s="269"/>
      <c r="J121" s="269"/>
      <c r="K121" s="269"/>
      <c r="L121" s="269"/>
      <c r="M121" s="269"/>
      <c r="N121" s="269"/>
      <c r="O121" s="269"/>
    </row>
    <row r="122" spans="2:15" ht="9.75" customHeight="1" x14ac:dyDescent="0.2">
      <c r="B122" s="269"/>
      <c r="C122" s="269"/>
      <c r="E122" s="269"/>
      <c r="H122" s="269"/>
      <c r="J122" s="269"/>
      <c r="K122" s="269"/>
      <c r="L122" s="269"/>
      <c r="M122" s="269"/>
      <c r="N122" s="269"/>
      <c r="O122" s="269"/>
    </row>
    <row r="123" spans="2:15" ht="9.75" customHeight="1" x14ac:dyDescent="0.2">
      <c r="B123" s="269"/>
      <c r="C123" s="269"/>
      <c r="E123" s="269"/>
      <c r="H123" s="269"/>
      <c r="J123" s="269"/>
      <c r="K123" s="269"/>
      <c r="L123" s="269"/>
      <c r="M123" s="269"/>
      <c r="N123" s="269"/>
      <c r="O123" s="269"/>
    </row>
    <row r="124" spans="2:15" ht="9.75" customHeight="1" x14ac:dyDescent="0.2">
      <c r="B124" s="269"/>
      <c r="C124" s="269"/>
      <c r="E124" s="269"/>
      <c r="H124" s="269"/>
      <c r="J124" s="269"/>
      <c r="K124" s="269"/>
      <c r="L124" s="269"/>
      <c r="M124" s="269"/>
      <c r="N124" s="269"/>
      <c r="O124" s="269"/>
    </row>
    <row r="125" spans="2:15" ht="9.75" customHeight="1" x14ac:dyDescent="0.2">
      <c r="B125" s="269"/>
      <c r="C125" s="269"/>
      <c r="E125" s="269"/>
      <c r="H125" s="269"/>
      <c r="J125" s="269"/>
      <c r="K125" s="269"/>
      <c r="L125" s="269"/>
      <c r="M125" s="269"/>
      <c r="N125" s="269"/>
      <c r="O125" s="269"/>
    </row>
    <row r="126" spans="2:15" ht="9.75" customHeight="1" x14ac:dyDescent="0.2">
      <c r="B126" s="269"/>
      <c r="C126" s="269"/>
      <c r="E126" s="269"/>
      <c r="H126" s="269"/>
      <c r="J126" s="269"/>
      <c r="K126" s="269"/>
      <c r="L126" s="269"/>
      <c r="M126" s="269"/>
      <c r="N126" s="269"/>
      <c r="O126" s="269"/>
    </row>
    <row r="127" spans="2:15" ht="9.75" customHeight="1" x14ac:dyDescent="0.2">
      <c r="B127" s="269"/>
      <c r="C127" s="269"/>
      <c r="E127" s="269"/>
      <c r="H127" s="269"/>
      <c r="J127" s="269"/>
      <c r="K127" s="269"/>
      <c r="L127" s="269"/>
      <c r="M127" s="269"/>
      <c r="N127" s="269"/>
      <c r="O127" s="269"/>
    </row>
    <row r="128" spans="2:15" ht="9.75" customHeight="1" x14ac:dyDescent="0.2">
      <c r="B128" s="269"/>
      <c r="C128" s="269"/>
      <c r="E128" s="269"/>
      <c r="H128" s="269"/>
      <c r="J128" s="269"/>
      <c r="K128" s="269"/>
      <c r="L128" s="269"/>
      <c r="M128" s="269"/>
      <c r="N128" s="269"/>
      <c r="O128" s="269"/>
    </row>
    <row r="129" spans="2:15" ht="9.75" customHeight="1" x14ac:dyDescent="0.2">
      <c r="B129" s="269"/>
      <c r="C129" s="269"/>
      <c r="E129" s="269"/>
      <c r="H129" s="269"/>
      <c r="J129" s="269"/>
      <c r="K129" s="269"/>
      <c r="L129" s="269"/>
      <c r="M129" s="269"/>
      <c r="N129" s="269"/>
      <c r="O129" s="269"/>
    </row>
    <row r="130" spans="2:15" ht="9.75" customHeight="1" x14ac:dyDescent="0.2">
      <c r="B130" s="269"/>
      <c r="C130" s="269"/>
      <c r="E130" s="269"/>
      <c r="H130" s="269"/>
      <c r="J130" s="269"/>
      <c r="K130" s="269"/>
      <c r="L130" s="269"/>
      <c r="M130" s="269"/>
      <c r="N130" s="269"/>
      <c r="O130" s="269"/>
    </row>
    <row r="131" spans="2:15" ht="9.75" customHeight="1" x14ac:dyDescent="0.2">
      <c r="B131" s="269"/>
      <c r="C131" s="269"/>
      <c r="E131" s="269"/>
      <c r="H131" s="269"/>
      <c r="J131" s="269"/>
      <c r="K131" s="269"/>
      <c r="L131" s="269"/>
      <c r="M131" s="269"/>
      <c r="N131" s="269"/>
      <c r="O131" s="269"/>
    </row>
    <row r="132" spans="2:15" ht="9.75" customHeight="1" x14ac:dyDescent="0.2">
      <c r="B132" s="269"/>
      <c r="C132" s="269"/>
      <c r="E132" s="269"/>
      <c r="H132" s="269"/>
      <c r="J132" s="269"/>
      <c r="K132" s="269"/>
      <c r="L132" s="269"/>
      <c r="M132" s="269"/>
      <c r="N132" s="269"/>
      <c r="O132" s="269"/>
    </row>
    <row r="133" spans="2:15" ht="9.75" customHeight="1" x14ac:dyDescent="0.2">
      <c r="B133" s="269"/>
      <c r="C133" s="269"/>
      <c r="E133" s="269"/>
      <c r="H133" s="269"/>
      <c r="J133" s="269"/>
      <c r="K133" s="269"/>
      <c r="L133" s="269"/>
      <c r="M133" s="269"/>
      <c r="N133" s="269"/>
      <c r="O133" s="269"/>
    </row>
    <row r="134" spans="2:15" ht="9.75" customHeight="1" x14ac:dyDescent="0.2">
      <c r="B134" s="269"/>
      <c r="C134" s="269"/>
      <c r="E134" s="269"/>
      <c r="H134" s="269"/>
      <c r="J134" s="269"/>
      <c r="K134" s="269"/>
      <c r="L134" s="269"/>
      <c r="M134" s="269"/>
      <c r="N134" s="269"/>
      <c r="O134" s="269"/>
    </row>
    <row r="135" spans="2:15" ht="9.75" customHeight="1" x14ac:dyDescent="0.2">
      <c r="B135" s="269"/>
      <c r="C135" s="269"/>
      <c r="E135" s="269"/>
      <c r="H135" s="269"/>
      <c r="J135" s="269"/>
      <c r="K135" s="269"/>
      <c r="L135" s="269"/>
      <c r="M135" s="269"/>
      <c r="N135" s="269"/>
      <c r="O135" s="269"/>
    </row>
    <row r="136" spans="2:15" ht="9.75" customHeight="1" x14ac:dyDescent="0.2">
      <c r="B136" s="269"/>
      <c r="C136" s="269"/>
      <c r="E136" s="269"/>
      <c r="H136" s="269"/>
      <c r="J136" s="269"/>
      <c r="K136" s="269"/>
      <c r="L136" s="269"/>
      <c r="M136" s="269"/>
      <c r="N136" s="269"/>
      <c r="O136" s="269"/>
    </row>
    <row r="137" spans="2:15" ht="9.75" customHeight="1" x14ac:dyDescent="0.2">
      <c r="B137" s="269"/>
      <c r="C137" s="269"/>
      <c r="E137" s="269"/>
      <c r="H137" s="269"/>
      <c r="J137" s="269"/>
      <c r="K137" s="269"/>
      <c r="L137" s="269"/>
      <c r="M137" s="269"/>
      <c r="N137" s="269"/>
      <c r="O137" s="269"/>
    </row>
    <row r="138" spans="2:15" ht="9.75" customHeight="1" x14ac:dyDescent="0.2">
      <c r="B138" s="269"/>
      <c r="C138" s="269"/>
      <c r="E138" s="269"/>
      <c r="H138" s="269"/>
      <c r="J138" s="269"/>
      <c r="K138" s="269"/>
      <c r="L138" s="269"/>
      <c r="M138" s="269"/>
      <c r="N138" s="269"/>
      <c r="O138" s="269"/>
    </row>
    <row r="139" spans="2:15" ht="9.75" customHeight="1" x14ac:dyDescent="0.2">
      <c r="B139" s="269"/>
      <c r="C139" s="269"/>
      <c r="E139" s="269"/>
      <c r="H139" s="269"/>
      <c r="J139" s="269"/>
      <c r="K139" s="269"/>
      <c r="L139" s="269"/>
      <c r="M139" s="269"/>
      <c r="N139" s="269"/>
      <c r="O139" s="269"/>
    </row>
    <row r="140" spans="2:15" ht="9.75" customHeight="1" x14ac:dyDescent="0.2">
      <c r="B140" s="269"/>
      <c r="C140" s="269"/>
      <c r="E140" s="269"/>
      <c r="H140" s="269"/>
      <c r="J140" s="269"/>
      <c r="K140" s="269"/>
      <c r="L140" s="269"/>
      <c r="M140" s="269"/>
      <c r="N140" s="269"/>
      <c r="O140" s="269"/>
    </row>
    <row r="141" spans="2:15" ht="9.75" customHeight="1" x14ac:dyDescent="0.2">
      <c r="B141" s="269"/>
      <c r="C141" s="269"/>
      <c r="E141" s="269"/>
      <c r="H141" s="269"/>
      <c r="J141" s="269"/>
      <c r="K141" s="269"/>
      <c r="L141" s="269"/>
      <c r="M141" s="269"/>
      <c r="N141" s="269"/>
      <c r="O141" s="269"/>
    </row>
    <row r="142" spans="2:15" ht="9.75" customHeight="1" x14ac:dyDescent="0.2">
      <c r="B142" s="269"/>
      <c r="C142" s="269"/>
      <c r="E142" s="269"/>
      <c r="H142" s="269"/>
      <c r="J142" s="269"/>
      <c r="K142" s="269"/>
      <c r="L142" s="269"/>
      <c r="M142" s="269"/>
      <c r="N142" s="269"/>
      <c r="O142" s="269"/>
    </row>
    <row r="143" spans="2:15" ht="9.75" customHeight="1" x14ac:dyDescent="0.2">
      <c r="B143" s="269"/>
      <c r="C143" s="269"/>
      <c r="E143" s="269"/>
      <c r="H143" s="269"/>
      <c r="J143" s="269"/>
      <c r="K143" s="269"/>
      <c r="L143" s="269"/>
      <c r="M143" s="269"/>
      <c r="N143" s="269"/>
      <c r="O143" s="269"/>
    </row>
    <row r="144" spans="2:15" ht="9.75" customHeight="1" x14ac:dyDescent="0.2">
      <c r="B144" s="269"/>
      <c r="C144" s="269"/>
      <c r="E144" s="269"/>
      <c r="H144" s="269"/>
      <c r="J144" s="269"/>
      <c r="K144" s="269"/>
      <c r="L144" s="269"/>
      <c r="M144" s="269"/>
      <c r="N144" s="269"/>
      <c r="O144" s="269"/>
    </row>
    <row r="145" spans="2:15" ht="9.75" customHeight="1" x14ac:dyDescent="0.2">
      <c r="B145" s="269"/>
      <c r="C145" s="269"/>
      <c r="E145" s="269"/>
      <c r="H145" s="269"/>
      <c r="J145" s="269"/>
      <c r="K145" s="269"/>
      <c r="L145" s="269"/>
      <c r="M145" s="269"/>
      <c r="N145" s="269"/>
      <c r="O145" s="269"/>
    </row>
    <row r="146" spans="2:15" ht="9.75" customHeight="1" x14ac:dyDescent="0.2">
      <c r="B146" s="269"/>
      <c r="C146" s="269"/>
      <c r="E146" s="269"/>
      <c r="H146" s="269"/>
      <c r="J146" s="269"/>
      <c r="K146" s="269"/>
      <c r="L146" s="269"/>
      <c r="M146" s="269"/>
      <c r="N146" s="269"/>
      <c r="O146" s="269"/>
    </row>
    <row r="147" spans="2:15" ht="9.75" customHeight="1" x14ac:dyDescent="0.2">
      <c r="B147" s="269"/>
      <c r="C147" s="269"/>
      <c r="E147" s="269"/>
      <c r="H147" s="269"/>
      <c r="J147" s="269"/>
      <c r="K147" s="269"/>
      <c r="L147" s="269"/>
      <c r="M147" s="269"/>
      <c r="N147" s="269"/>
      <c r="O147" s="269"/>
    </row>
    <row r="148" spans="2:15" ht="9.75" customHeight="1" x14ac:dyDescent="0.2">
      <c r="B148" s="269"/>
      <c r="C148" s="269"/>
      <c r="E148" s="269"/>
      <c r="H148" s="269"/>
      <c r="J148" s="269"/>
      <c r="K148" s="269"/>
      <c r="L148" s="269"/>
      <c r="M148" s="269"/>
      <c r="N148" s="269"/>
      <c r="O148" s="269"/>
    </row>
    <row r="149" spans="2:15" ht="9.75" customHeight="1" x14ac:dyDescent="0.2">
      <c r="B149" s="269"/>
      <c r="C149" s="269"/>
      <c r="E149" s="269"/>
      <c r="H149" s="269"/>
      <c r="J149" s="269"/>
      <c r="K149" s="269"/>
      <c r="L149" s="269"/>
      <c r="M149" s="269"/>
      <c r="N149" s="269"/>
      <c r="O149" s="269"/>
    </row>
    <row r="150" spans="2:15" ht="9.75" customHeight="1" x14ac:dyDescent="0.2">
      <c r="B150" s="269"/>
      <c r="C150" s="269"/>
      <c r="E150" s="269"/>
      <c r="H150" s="269"/>
      <c r="J150" s="269"/>
      <c r="K150" s="269"/>
      <c r="L150" s="269"/>
      <c r="M150" s="269"/>
      <c r="N150" s="269"/>
      <c r="O150" s="269"/>
    </row>
    <row r="151" spans="2:15" ht="9.75" customHeight="1" x14ac:dyDescent="0.2">
      <c r="B151" s="269"/>
      <c r="C151" s="269"/>
      <c r="E151" s="269"/>
      <c r="H151" s="269"/>
      <c r="J151" s="269"/>
      <c r="K151" s="269"/>
      <c r="L151" s="269"/>
      <c r="M151" s="269"/>
      <c r="N151" s="269"/>
      <c r="O151" s="269"/>
    </row>
    <row r="152" spans="2:15" ht="9.75" customHeight="1" x14ac:dyDescent="0.2">
      <c r="B152" s="269"/>
      <c r="C152" s="269"/>
      <c r="E152" s="269"/>
      <c r="H152" s="269"/>
      <c r="J152" s="269"/>
      <c r="K152" s="269"/>
      <c r="L152" s="269"/>
      <c r="M152" s="269"/>
      <c r="N152" s="269"/>
      <c r="O152" s="269"/>
    </row>
    <row r="153" spans="2:15" ht="9.75" customHeight="1" x14ac:dyDescent="0.2">
      <c r="B153" s="269"/>
      <c r="C153" s="269"/>
      <c r="E153" s="269"/>
      <c r="H153" s="269"/>
      <c r="J153" s="269"/>
      <c r="K153" s="269"/>
      <c r="L153" s="269"/>
      <c r="M153" s="269"/>
      <c r="N153" s="269"/>
      <c r="O153" s="269"/>
    </row>
    <row r="154" spans="2:15" ht="9.75" customHeight="1" x14ac:dyDescent="0.2">
      <c r="B154" s="269"/>
      <c r="C154" s="269"/>
      <c r="E154" s="269"/>
      <c r="H154" s="269"/>
      <c r="J154" s="269"/>
      <c r="K154" s="269"/>
      <c r="L154" s="269"/>
      <c r="M154" s="269"/>
      <c r="N154" s="269"/>
      <c r="O154" s="269"/>
    </row>
    <row r="155" spans="2:15" ht="9.75" customHeight="1" x14ac:dyDescent="0.2">
      <c r="B155" s="269"/>
      <c r="C155" s="269"/>
      <c r="E155" s="269"/>
      <c r="H155" s="269"/>
      <c r="J155" s="269"/>
      <c r="K155" s="269"/>
      <c r="L155" s="269"/>
      <c r="M155" s="269"/>
      <c r="N155" s="269"/>
      <c r="O155" s="269"/>
    </row>
    <row r="156" spans="2:15" ht="9.75" customHeight="1" x14ac:dyDescent="0.2">
      <c r="B156" s="269"/>
      <c r="C156" s="269"/>
      <c r="E156" s="269"/>
      <c r="H156" s="269"/>
      <c r="J156" s="269"/>
      <c r="K156" s="269"/>
      <c r="L156" s="269"/>
      <c r="M156" s="269"/>
      <c r="N156" s="269"/>
      <c r="O156" s="269"/>
    </row>
    <row r="157" spans="2:15" ht="9.75" customHeight="1" x14ac:dyDescent="0.2">
      <c r="B157" s="269"/>
      <c r="C157" s="269"/>
      <c r="E157" s="269"/>
      <c r="H157" s="269"/>
      <c r="J157" s="269"/>
      <c r="K157" s="269"/>
      <c r="L157" s="269"/>
      <c r="M157" s="269"/>
      <c r="N157" s="269"/>
      <c r="O157" s="269"/>
    </row>
    <row r="158" spans="2:15" ht="9.75" customHeight="1" x14ac:dyDescent="0.2">
      <c r="B158" s="269"/>
      <c r="C158" s="269"/>
      <c r="E158" s="269"/>
      <c r="H158" s="269"/>
      <c r="J158" s="269"/>
      <c r="K158" s="269"/>
      <c r="L158" s="269"/>
      <c r="M158" s="269"/>
      <c r="N158" s="269"/>
      <c r="O158" s="269"/>
    </row>
    <row r="159" spans="2:15" ht="9.75" customHeight="1" x14ac:dyDescent="0.2">
      <c r="B159" s="269"/>
      <c r="C159" s="269"/>
      <c r="E159" s="269"/>
      <c r="H159" s="269"/>
      <c r="J159" s="269"/>
      <c r="K159" s="269"/>
      <c r="L159" s="269"/>
      <c r="M159" s="269"/>
      <c r="N159" s="269"/>
      <c r="O159" s="269"/>
    </row>
    <row r="160" spans="2:15" ht="9.75" customHeight="1" x14ac:dyDescent="0.2">
      <c r="B160" s="269"/>
      <c r="C160" s="269"/>
      <c r="E160" s="269"/>
      <c r="H160" s="269"/>
      <c r="J160" s="269"/>
      <c r="K160" s="269"/>
      <c r="L160" s="269"/>
      <c r="M160" s="269"/>
      <c r="N160" s="269"/>
      <c r="O160" s="269"/>
    </row>
    <row r="161" spans="2:15" ht="9.75" customHeight="1" x14ac:dyDescent="0.2">
      <c r="B161" s="269"/>
      <c r="C161" s="269"/>
      <c r="E161" s="269"/>
      <c r="H161" s="269"/>
      <c r="J161" s="269"/>
      <c r="K161" s="269"/>
      <c r="L161" s="269"/>
      <c r="M161" s="269"/>
      <c r="N161" s="269"/>
      <c r="O161" s="269"/>
    </row>
    <row r="162" spans="2:15" ht="9.75" customHeight="1" x14ac:dyDescent="0.2">
      <c r="B162" s="269"/>
      <c r="C162" s="269"/>
      <c r="E162" s="269"/>
      <c r="H162" s="269"/>
      <c r="J162" s="269"/>
      <c r="K162" s="269"/>
      <c r="L162" s="269"/>
      <c r="M162" s="269"/>
      <c r="N162" s="269"/>
      <c r="O162" s="269"/>
    </row>
    <row r="163" spans="2:15" ht="9.75" customHeight="1" x14ac:dyDescent="0.2">
      <c r="B163" s="269"/>
      <c r="C163" s="269"/>
      <c r="E163" s="269"/>
      <c r="H163" s="269"/>
      <c r="J163" s="269"/>
      <c r="K163" s="269"/>
      <c r="L163" s="269"/>
      <c r="M163" s="269"/>
      <c r="N163" s="269"/>
      <c r="O163" s="269"/>
    </row>
    <row r="164" spans="2:15" ht="9.75" customHeight="1" x14ac:dyDescent="0.2">
      <c r="B164" s="269"/>
      <c r="C164" s="269"/>
      <c r="E164" s="269"/>
      <c r="H164" s="269"/>
      <c r="J164" s="269"/>
      <c r="K164" s="269"/>
      <c r="L164" s="269"/>
      <c r="M164" s="269"/>
      <c r="N164" s="269"/>
      <c r="O164" s="269"/>
    </row>
    <row r="165" spans="2:15" ht="9.75" customHeight="1" x14ac:dyDescent="0.2">
      <c r="B165" s="269"/>
      <c r="C165" s="269"/>
      <c r="E165" s="269"/>
      <c r="H165" s="269"/>
      <c r="J165" s="269"/>
      <c r="K165" s="269"/>
      <c r="L165" s="269"/>
      <c r="M165" s="269"/>
      <c r="N165" s="269"/>
      <c r="O165" s="269"/>
    </row>
    <row r="166" spans="2:15" ht="9.75" customHeight="1" x14ac:dyDescent="0.2">
      <c r="B166" s="269"/>
      <c r="C166" s="269"/>
      <c r="E166" s="269"/>
      <c r="H166" s="269"/>
      <c r="J166" s="269"/>
      <c r="K166" s="269"/>
      <c r="L166" s="269"/>
      <c r="M166" s="269"/>
      <c r="N166" s="269"/>
      <c r="O166" s="269"/>
    </row>
    <row r="167" spans="2:15" ht="9.75" customHeight="1" x14ac:dyDescent="0.2">
      <c r="B167" s="269"/>
      <c r="C167" s="269"/>
      <c r="E167" s="269"/>
      <c r="H167" s="269"/>
      <c r="J167" s="269"/>
      <c r="K167" s="269"/>
      <c r="L167" s="269"/>
      <c r="M167" s="269"/>
      <c r="N167" s="269"/>
      <c r="O167" s="269"/>
    </row>
    <row r="168" spans="2:15" ht="9.75" customHeight="1" x14ac:dyDescent="0.2">
      <c r="B168" s="269"/>
      <c r="C168" s="269"/>
      <c r="E168" s="269"/>
      <c r="H168" s="269"/>
      <c r="J168" s="269"/>
      <c r="K168" s="269"/>
      <c r="L168" s="269"/>
      <c r="M168" s="269"/>
      <c r="N168" s="269"/>
      <c r="O168" s="269"/>
    </row>
    <row r="169" spans="2:15" ht="9.75" customHeight="1" x14ac:dyDescent="0.2">
      <c r="B169" s="269"/>
      <c r="C169" s="269"/>
      <c r="E169" s="269"/>
      <c r="H169" s="269"/>
      <c r="J169" s="269"/>
      <c r="K169" s="269"/>
      <c r="L169" s="269"/>
      <c r="M169" s="269"/>
      <c r="N169" s="269"/>
      <c r="O169" s="269"/>
    </row>
    <row r="170" spans="2:15" ht="9.75" customHeight="1" x14ac:dyDescent="0.2">
      <c r="B170" s="269"/>
      <c r="C170" s="269"/>
      <c r="E170" s="269"/>
      <c r="H170" s="269"/>
      <c r="J170" s="269"/>
      <c r="K170" s="269"/>
      <c r="L170" s="269"/>
      <c r="M170" s="269"/>
      <c r="N170" s="269"/>
      <c r="O170" s="269"/>
    </row>
    <row r="171" spans="2:15" ht="9.75" customHeight="1" x14ac:dyDescent="0.2">
      <c r="B171" s="269"/>
      <c r="C171" s="269"/>
      <c r="E171" s="269"/>
      <c r="H171" s="269"/>
      <c r="J171" s="269"/>
      <c r="K171" s="269"/>
      <c r="L171" s="269"/>
      <c r="M171" s="269"/>
      <c r="N171" s="269"/>
      <c r="O171" s="269"/>
    </row>
    <row r="172" spans="2:15" ht="9.75" customHeight="1" x14ac:dyDescent="0.2">
      <c r="B172" s="269"/>
      <c r="C172" s="269"/>
      <c r="E172" s="269"/>
      <c r="H172" s="269"/>
      <c r="J172" s="269"/>
      <c r="K172" s="269"/>
      <c r="L172" s="269"/>
      <c r="M172" s="269"/>
      <c r="N172" s="269"/>
      <c r="O172" s="269"/>
    </row>
    <row r="173" spans="2:15" ht="9.75" customHeight="1" x14ac:dyDescent="0.2">
      <c r="B173" s="269"/>
      <c r="C173" s="269"/>
      <c r="E173" s="269"/>
      <c r="H173" s="269"/>
      <c r="J173" s="269"/>
      <c r="K173" s="269"/>
      <c r="L173" s="269"/>
      <c r="M173" s="269"/>
      <c r="N173" s="269"/>
      <c r="O173" s="269"/>
    </row>
    <row r="174" spans="2:15" ht="9.75" customHeight="1" x14ac:dyDescent="0.2">
      <c r="B174" s="269"/>
      <c r="C174" s="269"/>
      <c r="E174" s="269"/>
      <c r="H174" s="269"/>
      <c r="J174" s="269"/>
      <c r="K174" s="269"/>
      <c r="L174" s="269"/>
      <c r="M174" s="269"/>
      <c r="N174" s="269"/>
      <c r="O174" s="269"/>
    </row>
    <row r="175" spans="2:15" ht="9.75" customHeight="1" x14ac:dyDescent="0.2">
      <c r="B175" s="269"/>
      <c r="C175" s="269"/>
      <c r="E175" s="269"/>
      <c r="H175" s="269"/>
      <c r="J175" s="269"/>
      <c r="K175" s="269"/>
      <c r="L175" s="269"/>
      <c r="M175" s="269"/>
      <c r="N175" s="269"/>
      <c r="O175" s="269"/>
    </row>
    <row r="176" spans="2:15" ht="9.75" customHeight="1" x14ac:dyDescent="0.2">
      <c r="B176" s="269"/>
      <c r="C176" s="269"/>
      <c r="E176" s="269"/>
      <c r="H176" s="269"/>
      <c r="J176" s="269"/>
      <c r="K176" s="269"/>
      <c r="L176" s="269"/>
      <c r="M176" s="269"/>
      <c r="N176" s="269"/>
      <c r="O176" s="269"/>
    </row>
    <row r="177" spans="2:15" ht="9.75" customHeight="1" x14ac:dyDescent="0.2">
      <c r="B177" s="269"/>
      <c r="C177" s="269"/>
      <c r="E177" s="269"/>
      <c r="H177" s="269"/>
      <c r="J177" s="269"/>
      <c r="K177" s="269"/>
      <c r="L177" s="269"/>
      <c r="M177" s="269"/>
      <c r="N177" s="269"/>
      <c r="O177" s="269"/>
    </row>
    <row r="178" spans="2:15" ht="9.75" customHeight="1" x14ac:dyDescent="0.2">
      <c r="B178" s="269"/>
      <c r="C178" s="269"/>
      <c r="E178" s="269"/>
      <c r="H178" s="269"/>
      <c r="J178" s="269"/>
      <c r="K178" s="269"/>
      <c r="L178" s="269"/>
      <c r="M178" s="269"/>
      <c r="N178" s="269"/>
      <c r="O178" s="269"/>
    </row>
    <row r="179" spans="2:15" ht="9.75" customHeight="1" x14ac:dyDescent="0.2">
      <c r="B179" s="269"/>
      <c r="C179" s="269"/>
      <c r="E179" s="269"/>
      <c r="H179" s="269"/>
      <c r="J179" s="269"/>
      <c r="K179" s="269"/>
      <c r="L179" s="269"/>
      <c r="M179" s="269"/>
      <c r="N179" s="269"/>
      <c r="O179" s="269"/>
    </row>
    <row r="180" spans="2:15" ht="9.75" customHeight="1" x14ac:dyDescent="0.2">
      <c r="B180" s="269"/>
      <c r="C180" s="269"/>
      <c r="E180" s="269"/>
      <c r="H180" s="269"/>
      <c r="J180" s="269"/>
      <c r="K180" s="269"/>
      <c r="L180" s="269"/>
      <c r="M180" s="269"/>
      <c r="N180" s="269"/>
      <c r="O180" s="269"/>
    </row>
    <row r="181" spans="2:15" ht="9.75" customHeight="1" x14ac:dyDescent="0.2">
      <c r="B181" s="269"/>
      <c r="C181" s="269"/>
      <c r="E181" s="269"/>
      <c r="H181" s="269"/>
      <c r="J181" s="269"/>
      <c r="K181" s="269"/>
      <c r="L181" s="269"/>
      <c r="M181" s="269"/>
      <c r="N181" s="269"/>
      <c r="O181" s="269"/>
    </row>
    <row r="182" spans="2:15" ht="9.75" customHeight="1" x14ac:dyDescent="0.2">
      <c r="B182" s="269"/>
      <c r="C182" s="269"/>
      <c r="E182" s="269"/>
      <c r="H182" s="269"/>
      <c r="J182" s="269"/>
      <c r="K182" s="269"/>
      <c r="L182" s="269"/>
      <c r="M182" s="269"/>
      <c r="N182" s="269"/>
      <c r="O182" s="269"/>
    </row>
    <row r="183" spans="2:15" ht="9.75" customHeight="1" x14ac:dyDescent="0.2">
      <c r="B183" s="269"/>
      <c r="C183" s="269"/>
      <c r="E183" s="269"/>
      <c r="H183" s="269"/>
      <c r="J183" s="269"/>
      <c r="K183" s="269"/>
      <c r="L183" s="269"/>
      <c r="M183" s="269"/>
      <c r="N183" s="269"/>
      <c r="O183" s="269"/>
    </row>
    <row r="184" spans="2:15" ht="9.75" customHeight="1" x14ac:dyDescent="0.2">
      <c r="B184" s="269"/>
      <c r="C184" s="269"/>
      <c r="E184" s="269"/>
      <c r="H184" s="269"/>
      <c r="J184" s="269"/>
      <c r="K184" s="269"/>
      <c r="L184" s="269"/>
      <c r="M184" s="269"/>
      <c r="N184" s="269"/>
      <c r="O184" s="269"/>
    </row>
    <row r="185" spans="2:15" ht="9.75" customHeight="1" x14ac:dyDescent="0.2">
      <c r="B185" s="269"/>
      <c r="C185" s="269"/>
      <c r="E185" s="269"/>
      <c r="H185" s="269"/>
      <c r="J185" s="269"/>
      <c r="K185" s="269"/>
      <c r="L185" s="269"/>
      <c r="M185" s="269"/>
      <c r="N185" s="269"/>
      <c r="O185" s="269"/>
    </row>
    <row r="186" spans="2:15" ht="9.75" customHeight="1" x14ac:dyDescent="0.2">
      <c r="B186" s="269"/>
      <c r="C186" s="269"/>
      <c r="E186" s="269"/>
      <c r="H186" s="269"/>
      <c r="J186" s="269"/>
      <c r="K186" s="269"/>
      <c r="L186" s="269"/>
      <c r="M186" s="269"/>
      <c r="N186" s="269"/>
      <c r="O186" s="269"/>
    </row>
    <row r="187" spans="2:15" ht="9.75" customHeight="1" x14ac:dyDescent="0.2">
      <c r="B187" s="269"/>
      <c r="C187" s="269"/>
      <c r="E187" s="269"/>
      <c r="H187" s="269"/>
      <c r="J187" s="269"/>
      <c r="K187" s="269"/>
      <c r="L187" s="269"/>
      <c r="M187" s="269"/>
      <c r="N187" s="269"/>
      <c r="O187" s="269"/>
    </row>
    <row r="188" spans="2:15" ht="9.75" customHeight="1" x14ac:dyDescent="0.2">
      <c r="B188" s="269"/>
      <c r="C188" s="269"/>
      <c r="E188" s="269"/>
      <c r="H188" s="269"/>
      <c r="J188" s="269"/>
      <c r="K188" s="269"/>
      <c r="L188" s="269"/>
      <c r="M188" s="269"/>
      <c r="N188" s="269"/>
      <c r="O188" s="269"/>
    </row>
    <row r="189" spans="2:15" ht="9.75" customHeight="1" x14ac:dyDescent="0.2">
      <c r="B189" s="269"/>
      <c r="C189" s="269"/>
      <c r="E189" s="269"/>
      <c r="H189" s="269"/>
      <c r="J189" s="269"/>
      <c r="K189" s="269"/>
      <c r="L189" s="269"/>
      <c r="M189" s="269"/>
      <c r="N189" s="269"/>
      <c r="O189" s="269"/>
    </row>
    <row r="190" spans="2:15" ht="9.75" customHeight="1" x14ac:dyDescent="0.2">
      <c r="B190" s="269"/>
      <c r="C190" s="269"/>
      <c r="E190" s="269"/>
      <c r="H190" s="269"/>
      <c r="J190" s="269"/>
      <c r="K190" s="269"/>
      <c r="L190" s="269"/>
      <c r="M190" s="269"/>
      <c r="N190" s="269"/>
      <c r="O190" s="269"/>
    </row>
    <row r="191" spans="2:15" ht="9.75" customHeight="1" x14ac:dyDescent="0.2">
      <c r="B191" s="269"/>
      <c r="C191" s="269"/>
      <c r="E191" s="269"/>
      <c r="H191" s="269"/>
      <c r="J191" s="269"/>
      <c r="K191" s="269"/>
      <c r="L191" s="269"/>
      <c r="M191" s="269"/>
      <c r="N191" s="269"/>
      <c r="O191" s="269"/>
    </row>
    <row r="192" spans="2:15" ht="9.75" customHeight="1" x14ac:dyDescent="0.2">
      <c r="B192" s="269"/>
      <c r="C192" s="269"/>
      <c r="E192" s="269"/>
      <c r="H192" s="269"/>
      <c r="J192" s="269"/>
      <c r="K192" s="269"/>
      <c r="L192" s="269"/>
      <c r="M192" s="269"/>
      <c r="N192" s="269"/>
      <c r="O192" s="269"/>
    </row>
    <row r="193" spans="2:15" ht="9.75" customHeight="1" x14ac:dyDescent="0.2">
      <c r="B193" s="269"/>
      <c r="C193" s="269"/>
      <c r="E193" s="269"/>
      <c r="H193" s="269"/>
      <c r="J193" s="269"/>
      <c r="K193" s="269"/>
      <c r="L193" s="269"/>
      <c r="M193" s="269"/>
      <c r="N193" s="269"/>
      <c r="O193" s="269"/>
    </row>
    <row r="194" spans="2:15" ht="9.75" customHeight="1" x14ac:dyDescent="0.2">
      <c r="B194" s="269"/>
      <c r="C194" s="269"/>
      <c r="E194" s="269"/>
      <c r="H194" s="269"/>
      <c r="J194" s="269"/>
      <c r="K194" s="269"/>
      <c r="L194" s="269"/>
      <c r="M194" s="269"/>
      <c r="N194" s="269"/>
      <c r="O194" s="269"/>
    </row>
    <row r="195" spans="2:15" ht="9.75" customHeight="1" x14ac:dyDescent="0.2">
      <c r="B195" s="269"/>
      <c r="C195" s="269"/>
      <c r="E195" s="269"/>
      <c r="H195" s="269"/>
      <c r="J195" s="269"/>
      <c r="K195" s="269"/>
      <c r="L195" s="269"/>
      <c r="M195" s="269"/>
      <c r="N195" s="269"/>
      <c r="O195" s="269"/>
    </row>
    <row r="196" spans="2:15" ht="9.75" customHeight="1" x14ac:dyDescent="0.2">
      <c r="B196" s="269"/>
      <c r="C196" s="269"/>
      <c r="E196" s="269"/>
      <c r="H196" s="269"/>
      <c r="J196" s="269"/>
      <c r="K196" s="269"/>
      <c r="L196" s="269"/>
      <c r="M196" s="269"/>
      <c r="N196" s="269"/>
      <c r="O196" s="269"/>
    </row>
    <row r="197" spans="2:15" ht="9.75" customHeight="1" x14ac:dyDescent="0.2">
      <c r="B197" s="269"/>
      <c r="C197" s="269"/>
      <c r="E197" s="269"/>
      <c r="H197" s="269"/>
      <c r="J197" s="269"/>
      <c r="K197" s="269"/>
      <c r="L197" s="269"/>
      <c r="M197" s="269"/>
      <c r="N197" s="269"/>
      <c r="O197" s="269"/>
    </row>
    <row r="198" spans="2:15" ht="9.75" customHeight="1" x14ac:dyDescent="0.2">
      <c r="B198" s="269"/>
      <c r="C198" s="269"/>
      <c r="E198" s="269"/>
      <c r="H198" s="269"/>
      <c r="J198" s="269"/>
      <c r="K198" s="269"/>
      <c r="L198" s="269"/>
      <c r="M198" s="269"/>
      <c r="N198" s="269"/>
      <c r="O198" s="269"/>
    </row>
    <row r="199" spans="2:15" ht="9.75" customHeight="1" x14ac:dyDescent="0.2">
      <c r="B199" s="269"/>
      <c r="C199" s="269"/>
      <c r="E199" s="269"/>
      <c r="H199" s="269"/>
      <c r="J199" s="269"/>
      <c r="K199" s="269"/>
      <c r="L199" s="269"/>
      <c r="M199" s="269"/>
      <c r="N199" s="269"/>
      <c r="O199" s="269"/>
    </row>
    <row r="200" spans="2:15" ht="9.75" customHeight="1" x14ac:dyDescent="0.2">
      <c r="B200" s="269"/>
      <c r="C200" s="269"/>
      <c r="E200" s="269"/>
      <c r="H200" s="269"/>
      <c r="J200" s="269"/>
      <c r="K200" s="269"/>
      <c r="L200" s="269"/>
      <c r="M200" s="269"/>
      <c r="N200" s="269"/>
      <c r="O200" s="269"/>
    </row>
    <row r="201" spans="2:15" ht="9.75" customHeight="1" x14ac:dyDescent="0.2">
      <c r="B201" s="269"/>
      <c r="C201" s="269"/>
      <c r="E201" s="269"/>
      <c r="H201" s="269"/>
      <c r="J201" s="269"/>
      <c r="K201" s="269"/>
      <c r="L201" s="269"/>
      <c r="M201" s="269"/>
      <c r="N201" s="269"/>
      <c r="O201" s="269"/>
    </row>
    <row r="202" spans="2:15" ht="9.75" customHeight="1" x14ac:dyDescent="0.2">
      <c r="B202" s="269"/>
      <c r="C202" s="269"/>
      <c r="E202" s="269"/>
      <c r="H202" s="269"/>
      <c r="J202" s="269"/>
      <c r="K202" s="269"/>
      <c r="L202" s="269"/>
      <c r="M202" s="269"/>
      <c r="N202" s="269"/>
      <c r="O202" s="269"/>
    </row>
    <row r="203" spans="2:15" ht="9.75" customHeight="1" x14ac:dyDescent="0.2">
      <c r="B203" s="269"/>
      <c r="C203" s="269"/>
      <c r="E203" s="269"/>
      <c r="H203" s="269"/>
      <c r="J203" s="269"/>
      <c r="K203" s="269"/>
      <c r="L203" s="269"/>
      <c r="M203" s="269"/>
      <c r="N203" s="269"/>
      <c r="O203" s="269"/>
    </row>
    <row r="204" spans="2:15" ht="9.75" customHeight="1" x14ac:dyDescent="0.2">
      <c r="B204" s="269"/>
      <c r="C204" s="269"/>
      <c r="E204" s="269"/>
      <c r="H204" s="269"/>
      <c r="J204" s="269"/>
      <c r="K204" s="269"/>
      <c r="L204" s="269"/>
      <c r="M204" s="269"/>
      <c r="N204" s="269"/>
      <c r="O204" s="269"/>
    </row>
    <row r="205" spans="2:15" ht="9.75" customHeight="1" x14ac:dyDescent="0.2">
      <c r="B205" s="269"/>
      <c r="C205" s="269"/>
      <c r="E205" s="269"/>
      <c r="H205" s="269"/>
      <c r="J205" s="269"/>
      <c r="K205" s="269"/>
      <c r="L205" s="269"/>
      <c r="M205" s="269"/>
      <c r="N205" s="269"/>
      <c r="O205" s="269"/>
    </row>
    <row r="206" spans="2:15" ht="9.75" customHeight="1" x14ac:dyDescent="0.2">
      <c r="B206" s="269"/>
      <c r="C206" s="269"/>
      <c r="E206" s="269"/>
      <c r="H206" s="269"/>
      <c r="J206" s="269"/>
      <c r="K206" s="269"/>
      <c r="L206" s="269"/>
      <c r="M206" s="269"/>
      <c r="N206" s="269"/>
      <c r="O206" s="269"/>
    </row>
    <row r="207" spans="2:15" ht="9.75" customHeight="1" x14ac:dyDescent="0.2">
      <c r="B207" s="269"/>
      <c r="C207" s="269"/>
      <c r="E207" s="269"/>
      <c r="H207" s="269"/>
      <c r="J207" s="269"/>
      <c r="K207" s="269"/>
      <c r="L207" s="269"/>
      <c r="M207" s="269"/>
      <c r="N207" s="269"/>
      <c r="O207" s="269"/>
    </row>
    <row r="208" spans="2:15" ht="9.75" customHeight="1" x14ac:dyDescent="0.2">
      <c r="B208" s="269"/>
      <c r="C208" s="269"/>
      <c r="E208" s="269"/>
      <c r="H208" s="269"/>
      <c r="J208" s="269"/>
      <c r="K208" s="269"/>
      <c r="L208" s="269"/>
      <c r="M208" s="269"/>
      <c r="N208" s="269"/>
      <c r="O208" s="269"/>
    </row>
    <row r="209" spans="2:15" ht="9.75" customHeight="1" x14ac:dyDescent="0.2">
      <c r="B209" s="269"/>
      <c r="C209" s="269"/>
      <c r="E209" s="269"/>
      <c r="H209" s="269"/>
      <c r="J209" s="269"/>
      <c r="K209" s="269"/>
      <c r="L209" s="269"/>
      <c r="M209" s="269"/>
      <c r="N209" s="269"/>
      <c r="O209" s="269"/>
    </row>
    <row r="210" spans="2:15" ht="9.75" customHeight="1" x14ac:dyDescent="0.2">
      <c r="B210" s="269"/>
      <c r="C210" s="269"/>
      <c r="E210" s="269"/>
      <c r="H210" s="269"/>
      <c r="J210" s="269"/>
      <c r="K210" s="269"/>
      <c r="L210" s="269"/>
      <c r="M210" s="269"/>
      <c r="N210" s="269"/>
      <c r="O210" s="269"/>
    </row>
    <row r="211" spans="2:15" ht="9.75" customHeight="1" x14ac:dyDescent="0.2">
      <c r="B211" s="269"/>
      <c r="C211" s="269"/>
      <c r="E211" s="269"/>
      <c r="H211" s="269"/>
      <c r="J211" s="269"/>
      <c r="K211" s="269"/>
      <c r="L211" s="269"/>
      <c r="M211" s="269"/>
      <c r="N211" s="269"/>
      <c r="O211" s="269"/>
    </row>
    <row r="212" spans="2:15" ht="9.75" customHeight="1" x14ac:dyDescent="0.2">
      <c r="B212" s="269"/>
      <c r="C212" s="269"/>
      <c r="E212" s="269"/>
      <c r="H212" s="269"/>
      <c r="J212" s="269"/>
      <c r="K212" s="269"/>
      <c r="L212" s="269"/>
      <c r="M212" s="269"/>
      <c r="N212" s="269"/>
      <c r="O212" s="269"/>
    </row>
    <row r="213" spans="2:15" ht="9.75" customHeight="1" x14ac:dyDescent="0.2">
      <c r="B213" s="269"/>
      <c r="C213" s="269"/>
      <c r="E213" s="269"/>
      <c r="H213" s="269"/>
      <c r="J213" s="269"/>
      <c r="K213" s="269"/>
      <c r="L213" s="269"/>
      <c r="M213" s="269"/>
      <c r="N213" s="269"/>
      <c r="O213" s="269"/>
    </row>
    <row r="214" spans="2:15" ht="9.75" customHeight="1" x14ac:dyDescent="0.2">
      <c r="B214" s="269"/>
      <c r="C214" s="269"/>
      <c r="E214" s="269"/>
      <c r="H214" s="269"/>
      <c r="J214" s="269"/>
      <c r="K214" s="269"/>
      <c r="L214" s="269"/>
      <c r="M214" s="269"/>
      <c r="N214" s="269"/>
      <c r="O214" s="269"/>
    </row>
    <row r="215" spans="2:15" ht="9.75" customHeight="1" x14ac:dyDescent="0.2">
      <c r="B215" s="269"/>
      <c r="C215" s="269"/>
      <c r="E215" s="269"/>
      <c r="H215" s="269"/>
      <c r="J215" s="269"/>
      <c r="K215" s="269"/>
      <c r="L215" s="269"/>
      <c r="M215" s="269"/>
      <c r="N215" s="269"/>
      <c r="O215" s="269"/>
    </row>
    <row r="216" spans="2:15" ht="9.75" customHeight="1" x14ac:dyDescent="0.2">
      <c r="B216" s="269"/>
      <c r="C216" s="269"/>
      <c r="E216" s="269"/>
      <c r="H216" s="269"/>
      <c r="J216" s="269"/>
      <c r="K216" s="269"/>
      <c r="L216" s="269"/>
      <c r="M216" s="269"/>
      <c r="N216" s="269"/>
      <c r="O216" s="269"/>
    </row>
    <row r="217" spans="2:15" ht="9.75" customHeight="1" x14ac:dyDescent="0.2">
      <c r="B217" s="269"/>
      <c r="C217" s="269"/>
      <c r="E217" s="269"/>
      <c r="H217" s="269"/>
      <c r="J217" s="269"/>
      <c r="K217" s="269"/>
      <c r="L217" s="269"/>
      <c r="M217" s="269"/>
      <c r="N217" s="269"/>
      <c r="O217" s="269"/>
    </row>
    <row r="218" spans="2:15" ht="9.75" customHeight="1" x14ac:dyDescent="0.2">
      <c r="B218" s="269"/>
      <c r="C218" s="269"/>
      <c r="E218" s="269"/>
      <c r="H218" s="269"/>
      <c r="J218" s="269"/>
      <c r="K218" s="269"/>
      <c r="L218" s="269"/>
      <c r="M218" s="269"/>
      <c r="N218" s="269"/>
      <c r="O218" s="269"/>
    </row>
    <row r="219" spans="2:15" ht="9.75" customHeight="1" x14ac:dyDescent="0.2">
      <c r="B219" s="269"/>
      <c r="C219" s="269"/>
      <c r="E219" s="269"/>
      <c r="H219" s="269"/>
      <c r="J219" s="269"/>
      <c r="K219" s="269"/>
      <c r="L219" s="269"/>
      <c r="M219" s="269"/>
      <c r="N219" s="269"/>
      <c r="O219" s="269"/>
    </row>
    <row r="220" spans="2:15" ht="9.75" customHeight="1" x14ac:dyDescent="0.2">
      <c r="B220" s="269"/>
      <c r="C220" s="269"/>
      <c r="E220" s="269"/>
      <c r="H220" s="269"/>
      <c r="J220" s="269"/>
      <c r="K220" s="269"/>
      <c r="L220" s="269"/>
      <c r="M220" s="269"/>
      <c r="N220" s="269"/>
      <c r="O220" s="269"/>
    </row>
    <row r="221" spans="2:15" ht="9.75" customHeight="1" x14ac:dyDescent="0.2">
      <c r="B221" s="269"/>
      <c r="C221" s="269"/>
      <c r="E221" s="269"/>
      <c r="H221" s="269"/>
      <c r="J221" s="269"/>
      <c r="K221" s="269"/>
      <c r="L221" s="269"/>
      <c r="M221" s="269"/>
      <c r="N221" s="269"/>
      <c r="O221" s="269"/>
    </row>
    <row r="222" spans="2:15" ht="9.75" customHeight="1" x14ac:dyDescent="0.2">
      <c r="B222" s="269"/>
      <c r="C222" s="269"/>
      <c r="E222" s="269"/>
      <c r="H222" s="269"/>
      <c r="J222" s="269"/>
      <c r="K222" s="269"/>
      <c r="L222" s="269"/>
      <c r="M222" s="269"/>
      <c r="N222" s="269"/>
      <c r="O222" s="269"/>
    </row>
    <row r="223" spans="2:15" ht="9.75" customHeight="1" x14ac:dyDescent="0.2">
      <c r="B223" s="269"/>
      <c r="C223" s="269"/>
      <c r="E223" s="269"/>
      <c r="H223" s="269"/>
      <c r="J223" s="269"/>
      <c r="K223" s="269"/>
      <c r="L223" s="269"/>
      <c r="M223" s="269"/>
      <c r="N223" s="269"/>
      <c r="O223" s="269"/>
    </row>
    <row r="224" spans="2:15" ht="9.75" customHeight="1" x14ac:dyDescent="0.2">
      <c r="B224" s="269"/>
      <c r="C224" s="269"/>
      <c r="E224" s="269"/>
      <c r="H224" s="269"/>
      <c r="J224" s="269"/>
      <c r="K224" s="269"/>
      <c r="L224" s="269"/>
      <c r="M224" s="269"/>
      <c r="N224" s="269"/>
      <c r="O224" s="269"/>
    </row>
    <row r="225" spans="2:15" ht="9.75" customHeight="1" x14ac:dyDescent="0.2">
      <c r="B225" s="269"/>
      <c r="C225" s="269"/>
      <c r="E225" s="269"/>
      <c r="H225" s="269"/>
      <c r="J225" s="269"/>
      <c r="K225" s="269"/>
      <c r="L225" s="269"/>
      <c r="M225" s="269"/>
      <c r="N225" s="269"/>
      <c r="O225" s="269"/>
    </row>
    <row r="226" spans="2:15" ht="9.75" customHeight="1" x14ac:dyDescent="0.2">
      <c r="B226" s="269"/>
      <c r="C226" s="269"/>
      <c r="E226" s="269"/>
      <c r="H226" s="269"/>
      <c r="J226" s="269"/>
      <c r="K226" s="269"/>
      <c r="L226" s="269"/>
      <c r="M226" s="269"/>
      <c r="N226" s="269"/>
      <c r="O226" s="269"/>
    </row>
    <row r="227" spans="2:15" ht="9.75" customHeight="1" x14ac:dyDescent="0.2">
      <c r="B227" s="269"/>
      <c r="C227" s="269"/>
      <c r="E227" s="269"/>
      <c r="H227" s="269"/>
      <c r="J227" s="269"/>
      <c r="K227" s="269"/>
      <c r="L227" s="269"/>
      <c r="M227" s="269"/>
      <c r="N227" s="269"/>
      <c r="O227" s="269"/>
    </row>
    <row r="228" spans="2:15" ht="9.75" customHeight="1" x14ac:dyDescent="0.2">
      <c r="B228" s="269"/>
      <c r="C228" s="269"/>
      <c r="E228" s="269"/>
      <c r="H228" s="269"/>
      <c r="J228" s="269"/>
      <c r="K228" s="269"/>
      <c r="L228" s="269"/>
      <c r="M228" s="269"/>
      <c r="N228" s="269"/>
      <c r="O228" s="269"/>
    </row>
    <row r="229" spans="2:15" ht="9.75" customHeight="1" x14ac:dyDescent="0.2">
      <c r="B229" s="269"/>
      <c r="C229" s="269"/>
      <c r="E229" s="269"/>
      <c r="H229" s="269"/>
      <c r="J229" s="269"/>
      <c r="K229" s="269"/>
      <c r="L229" s="269"/>
      <c r="M229" s="269"/>
      <c r="N229" s="269"/>
      <c r="O229" s="269"/>
    </row>
    <row r="230" spans="2:15" ht="9.75" customHeight="1" x14ac:dyDescent="0.2">
      <c r="B230" s="269"/>
      <c r="C230" s="269"/>
      <c r="E230" s="269"/>
      <c r="H230" s="269"/>
      <c r="J230" s="269"/>
      <c r="K230" s="269"/>
      <c r="L230" s="269"/>
      <c r="M230" s="269"/>
      <c r="N230" s="269"/>
      <c r="O230" s="269"/>
    </row>
    <row r="231" spans="2:15" ht="9.75" customHeight="1" x14ac:dyDescent="0.2">
      <c r="B231" s="269"/>
      <c r="C231" s="269"/>
      <c r="E231" s="269"/>
      <c r="H231" s="269"/>
      <c r="J231" s="269"/>
      <c r="K231" s="269"/>
      <c r="L231" s="269"/>
      <c r="M231" s="269"/>
      <c r="N231" s="269"/>
      <c r="O231" s="269"/>
    </row>
    <row r="232" spans="2:15" ht="9.75" customHeight="1" x14ac:dyDescent="0.2">
      <c r="B232" s="269"/>
      <c r="C232" s="269"/>
      <c r="E232" s="269"/>
      <c r="H232" s="269"/>
      <c r="J232" s="269"/>
      <c r="K232" s="269"/>
      <c r="L232" s="269"/>
      <c r="M232" s="269"/>
      <c r="N232" s="269"/>
      <c r="O232" s="269"/>
    </row>
    <row r="233" spans="2:15" ht="9.75" customHeight="1" x14ac:dyDescent="0.2">
      <c r="B233" s="269"/>
      <c r="C233" s="269"/>
      <c r="E233" s="269"/>
      <c r="H233" s="269"/>
      <c r="J233" s="269"/>
      <c r="K233" s="269"/>
      <c r="L233" s="269"/>
      <c r="M233" s="269"/>
      <c r="N233" s="269"/>
      <c r="O233" s="269"/>
    </row>
    <row r="234" spans="2:15" ht="9.75" customHeight="1" x14ac:dyDescent="0.2">
      <c r="B234" s="269"/>
      <c r="C234" s="269"/>
      <c r="E234" s="269"/>
      <c r="H234" s="269"/>
      <c r="J234" s="269"/>
      <c r="K234" s="269"/>
      <c r="L234" s="269"/>
      <c r="M234" s="269"/>
      <c r="N234" s="269"/>
      <c r="O234" s="269"/>
    </row>
    <row r="235" spans="2:15" ht="9.75" customHeight="1" x14ac:dyDescent="0.2">
      <c r="B235" s="269"/>
      <c r="C235" s="269"/>
      <c r="E235" s="269"/>
      <c r="H235" s="269"/>
      <c r="J235" s="269"/>
      <c r="K235" s="269"/>
      <c r="L235" s="269"/>
      <c r="M235" s="269"/>
      <c r="N235" s="269"/>
      <c r="O235" s="269"/>
    </row>
    <row r="236" spans="2:15" ht="9.75" customHeight="1" x14ac:dyDescent="0.2">
      <c r="B236" s="269"/>
      <c r="C236" s="269"/>
      <c r="E236" s="269"/>
      <c r="H236" s="269"/>
      <c r="J236" s="269"/>
      <c r="K236" s="269"/>
      <c r="L236" s="269"/>
      <c r="M236" s="269"/>
      <c r="N236" s="269"/>
      <c r="O236" s="269"/>
    </row>
    <row r="237" spans="2:15" ht="9.75" customHeight="1" x14ac:dyDescent="0.2">
      <c r="B237" s="269"/>
      <c r="C237" s="269"/>
      <c r="E237" s="269"/>
      <c r="H237" s="269"/>
      <c r="J237" s="269"/>
      <c r="K237" s="269"/>
      <c r="L237" s="269"/>
      <c r="M237" s="269"/>
      <c r="N237" s="269"/>
      <c r="O237" s="269"/>
    </row>
    <row r="238" spans="2:15" ht="9.75" customHeight="1" x14ac:dyDescent="0.2">
      <c r="B238" s="269"/>
      <c r="C238" s="269"/>
      <c r="E238" s="269"/>
      <c r="H238" s="269"/>
      <c r="J238" s="269"/>
      <c r="K238" s="269"/>
      <c r="L238" s="269"/>
      <c r="M238" s="269"/>
      <c r="N238" s="269"/>
      <c r="O238" s="269"/>
    </row>
    <row r="239" spans="2:15" ht="9.75" customHeight="1" x14ac:dyDescent="0.2">
      <c r="B239" s="269"/>
      <c r="C239" s="269"/>
      <c r="E239" s="269"/>
      <c r="H239" s="269"/>
      <c r="J239" s="269"/>
      <c r="K239" s="269"/>
      <c r="L239" s="269"/>
      <c r="M239" s="269"/>
      <c r="N239" s="269"/>
      <c r="O239" s="269"/>
    </row>
    <row r="240" spans="2:15" ht="9.75" customHeight="1" x14ac:dyDescent="0.2">
      <c r="B240" s="269"/>
      <c r="C240" s="269"/>
      <c r="E240" s="269"/>
      <c r="H240" s="269"/>
      <c r="J240" s="269"/>
      <c r="K240" s="269"/>
      <c r="L240" s="269"/>
      <c r="M240" s="269"/>
      <c r="N240" s="269"/>
      <c r="O240" s="269"/>
    </row>
    <row r="241" spans="2:15" ht="9.75" customHeight="1" x14ac:dyDescent="0.2">
      <c r="B241" s="269"/>
      <c r="C241" s="269"/>
      <c r="E241" s="269"/>
      <c r="H241" s="269"/>
      <c r="J241" s="269"/>
      <c r="K241" s="269"/>
      <c r="L241" s="269"/>
      <c r="M241" s="269"/>
      <c r="N241" s="269"/>
      <c r="O241" s="269"/>
    </row>
    <row r="242" spans="2:15" ht="9.75" customHeight="1" x14ac:dyDescent="0.2">
      <c r="B242" s="269"/>
      <c r="C242" s="269"/>
      <c r="E242" s="269"/>
      <c r="H242" s="269"/>
      <c r="J242" s="269"/>
      <c r="K242" s="269"/>
      <c r="L242" s="269"/>
      <c r="M242" s="269"/>
      <c r="N242" s="269"/>
      <c r="O242" s="269"/>
    </row>
    <row r="243" spans="2:15" ht="9.75" customHeight="1" x14ac:dyDescent="0.2">
      <c r="B243" s="269"/>
      <c r="C243" s="269"/>
      <c r="E243" s="269"/>
      <c r="H243" s="269"/>
      <c r="J243" s="269"/>
      <c r="K243" s="269"/>
      <c r="L243" s="269"/>
      <c r="M243" s="269"/>
      <c r="N243" s="269"/>
      <c r="O243" s="269"/>
    </row>
    <row r="244" spans="2:15" ht="9.75" customHeight="1" x14ac:dyDescent="0.2">
      <c r="B244" s="269"/>
      <c r="C244" s="269"/>
      <c r="E244" s="269"/>
      <c r="H244" s="269"/>
      <c r="J244" s="269"/>
      <c r="K244" s="269"/>
      <c r="L244" s="269"/>
      <c r="M244" s="269"/>
      <c r="N244" s="269"/>
      <c r="O244" s="269"/>
    </row>
    <row r="245" spans="2:15" ht="9.75" customHeight="1" x14ac:dyDescent="0.2">
      <c r="B245" s="269"/>
      <c r="C245" s="269"/>
      <c r="E245" s="269"/>
      <c r="H245" s="269"/>
      <c r="J245" s="269"/>
      <c r="K245" s="269"/>
      <c r="L245" s="269"/>
      <c r="M245" s="269"/>
      <c r="N245" s="269"/>
      <c r="O245" s="269"/>
    </row>
    <row r="246" spans="2:15" ht="9.75" customHeight="1" x14ac:dyDescent="0.2">
      <c r="B246" s="269"/>
      <c r="C246" s="269"/>
      <c r="E246" s="269"/>
      <c r="H246" s="269"/>
      <c r="J246" s="269"/>
      <c r="K246" s="269"/>
      <c r="L246" s="269"/>
      <c r="M246" s="269"/>
      <c r="N246" s="269"/>
      <c r="O246" s="269"/>
    </row>
    <row r="247" spans="2:15" ht="9.75" customHeight="1" x14ac:dyDescent="0.2">
      <c r="B247" s="269"/>
      <c r="C247" s="269"/>
      <c r="E247" s="269"/>
      <c r="H247" s="269"/>
      <c r="J247" s="269"/>
      <c r="K247" s="269"/>
      <c r="L247" s="269"/>
      <c r="M247" s="269"/>
      <c r="N247" s="269"/>
      <c r="O247" s="269"/>
    </row>
    <row r="248" spans="2:15" ht="9.75" customHeight="1" x14ac:dyDescent="0.2">
      <c r="B248" s="269"/>
      <c r="C248" s="269"/>
      <c r="E248" s="269"/>
      <c r="H248" s="269"/>
      <c r="J248" s="269"/>
      <c r="K248" s="269"/>
      <c r="L248" s="269"/>
      <c r="M248" s="269"/>
      <c r="N248" s="269"/>
      <c r="O248" s="269"/>
    </row>
    <row r="249" spans="2:15" ht="9.75" customHeight="1" x14ac:dyDescent="0.2">
      <c r="B249" s="269"/>
      <c r="C249" s="269"/>
      <c r="E249" s="269"/>
      <c r="H249" s="269"/>
      <c r="J249" s="269"/>
      <c r="K249" s="269"/>
      <c r="L249" s="269"/>
      <c r="M249" s="269"/>
      <c r="N249" s="269"/>
      <c r="O249" s="269"/>
    </row>
    <row r="250" spans="2:15" ht="9.75" customHeight="1" x14ac:dyDescent="0.2">
      <c r="B250" s="269"/>
      <c r="C250" s="269"/>
      <c r="E250" s="269"/>
      <c r="H250" s="269"/>
      <c r="J250" s="269"/>
      <c r="K250" s="269"/>
      <c r="L250" s="269"/>
      <c r="M250" s="269"/>
      <c r="N250" s="269"/>
      <c r="O250" s="269"/>
    </row>
    <row r="251" spans="2:15" ht="9.75" customHeight="1" x14ac:dyDescent="0.2">
      <c r="B251" s="269"/>
      <c r="C251" s="269"/>
      <c r="E251" s="269"/>
      <c r="H251" s="269"/>
      <c r="J251" s="269"/>
      <c r="K251" s="269"/>
      <c r="L251" s="269"/>
      <c r="M251" s="269"/>
      <c r="N251" s="269"/>
      <c r="O251" s="269"/>
    </row>
    <row r="252" spans="2:15" ht="9.75" customHeight="1" x14ac:dyDescent="0.2">
      <c r="B252" s="269"/>
      <c r="C252" s="269"/>
      <c r="E252" s="269"/>
      <c r="H252" s="269"/>
      <c r="J252" s="269"/>
      <c r="K252" s="269"/>
      <c r="L252" s="269"/>
      <c r="M252" s="269"/>
      <c r="N252" s="269"/>
      <c r="O252" s="269"/>
    </row>
    <row r="253" spans="2:15" ht="9.75" customHeight="1" x14ac:dyDescent="0.2">
      <c r="B253" s="269"/>
      <c r="C253" s="269"/>
      <c r="E253" s="269"/>
      <c r="H253" s="269"/>
      <c r="J253" s="269"/>
      <c r="K253" s="269"/>
      <c r="L253" s="269"/>
      <c r="M253" s="269"/>
      <c r="N253" s="269"/>
      <c r="O253" s="269"/>
    </row>
    <row r="254" spans="2:15" ht="9.75" customHeight="1" x14ac:dyDescent="0.2">
      <c r="B254" s="269"/>
      <c r="C254" s="269"/>
      <c r="E254" s="269"/>
      <c r="H254" s="269"/>
      <c r="J254" s="269"/>
      <c r="K254" s="269"/>
      <c r="L254" s="269"/>
      <c r="M254" s="269"/>
      <c r="N254" s="269"/>
      <c r="O254" s="269"/>
    </row>
    <row r="255" spans="2:15" ht="9.75" customHeight="1" x14ac:dyDescent="0.2">
      <c r="B255" s="269"/>
      <c r="C255" s="269"/>
      <c r="E255" s="269"/>
      <c r="H255" s="269"/>
      <c r="J255" s="269"/>
      <c r="K255" s="269"/>
      <c r="L255" s="269"/>
      <c r="M255" s="269"/>
      <c r="N255" s="269"/>
      <c r="O255" s="269"/>
    </row>
    <row r="256" spans="2:15" ht="9.75" customHeight="1" x14ac:dyDescent="0.2">
      <c r="B256" s="269"/>
      <c r="C256" s="269"/>
      <c r="E256" s="269"/>
      <c r="H256" s="269"/>
      <c r="J256" s="269"/>
      <c r="K256" s="269"/>
      <c r="L256" s="269"/>
      <c r="M256" s="269"/>
      <c r="N256" s="269"/>
      <c r="O256" s="269"/>
    </row>
    <row r="257" spans="2:15" ht="9.75" customHeight="1" x14ac:dyDescent="0.2">
      <c r="B257" s="269"/>
      <c r="C257" s="269"/>
      <c r="E257" s="269"/>
      <c r="H257" s="269"/>
      <c r="J257" s="269"/>
      <c r="K257" s="269"/>
      <c r="L257" s="269"/>
      <c r="M257" s="269"/>
      <c r="N257" s="269"/>
      <c r="O257" s="269"/>
    </row>
    <row r="258" spans="2:15" ht="9.75" customHeight="1" x14ac:dyDescent="0.2">
      <c r="B258" s="269"/>
      <c r="C258" s="269"/>
      <c r="E258" s="269"/>
      <c r="H258" s="269"/>
      <c r="J258" s="269"/>
      <c r="K258" s="269"/>
      <c r="L258" s="269"/>
      <c r="M258" s="269"/>
      <c r="N258" s="269"/>
      <c r="O258" s="269"/>
    </row>
    <row r="259" spans="2:15" ht="9.75" customHeight="1" x14ac:dyDescent="0.2">
      <c r="B259" s="269"/>
      <c r="C259" s="269"/>
      <c r="E259" s="269"/>
      <c r="H259" s="269"/>
      <c r="J259" s="269"/>
      <c r="K259" s="269"/>
      <c r="L259" s="269"/>
      <c r="M259" s="269"/>
      <c r="N259" s="269"/>
      <c r="O259" s="269"/>
    </row>
    <row r="260" spans="2:15" ht="9.75" customHeight="1" x14ac:dyDescent="0.2">
      <c r="B260" s="269"/>
      <c r="C260" s="269"/>
      <c r="E260" s="269"/>
      <c r="H260" s="269"/>
      <c r="J260" s="269"/>
      <c r="K260" s="269"/>
      <c r="L260" s="269"/>
      <c r="M260" s="269"/>
      <c r="N260" s="269"/>
      <c r="O260" s="269"/>
    </row>
    <row r="261" spans="2:15" ht="9.75" customHeight="1" x14ac:dyDescent="0.2">
      <c r="B261" s="269"/>
      <c r="C261" s="269"/>
      <c r="E261" s="269"/>
      <c r="H261" s="269"/>
      <c r="J261" s="269"/>
      <c r="K261" s="269"/>
      <c r="L261" s="269"/>
      <c r="M261" s="269"/>
      <c r="N261" s="269"/>
      <c r="O261" s="269"/>
    </row>
    <row r="262" spans="2:15" ht="9.75" customHeight="1" x14ac:dyDescent="0.2">
      <c r="B262" s="269"/>
      <c r="C262" s="269"/>
      <c r="E262" s="269"/>
      <c r="H262" s="269"/>
      <c r="J262" s="269"/>
      <c r="K262" s="269"/>
      <c r="L262" s="269"/>
      <c r="M262" s="269"/>
      <c r="N262" s="269"/>
      <c r="O262" s="269"/>
    </row>
    <row r="263" spans="2:15" ht="9.75" customHeight="1" x14ac:dyDescent="0.2">
      <c r="B263" s="269"/>
      <c r="C263" s="269"/>
      <c r="E263" s="269"/>
      <c r="H263" s="269"/>
      <c r="J263" s="269"/>
      <c r="K263" s="269"/>
      <c r="L263" s="269"/>
      <c r="M263" s="269"/>
      <c r="N263" s="269"/>
      <c r="O263" s="269"/>
    </row>
    <row r="264" spans="2:15" ht="9.75" customHeight="1" x14ac:dyDescent="0.2">
      <c r="B264" s="269"/>
      <c r="C264" s="269"/>
      <c r="E264" s="269"/>
      <c r="H264" s="269"/>
      <c r="J264" s="269"/>
      <c r="K264" s="269"/>
      <c r="L264" s="269"/>
      <c r="M264" s="269"/>
      <c r="N264" s="269"/>
      <c r="O264" s="269"/>
    </row>
    <row r="265" spans="2:15" ht="9.75" customHeight="1" x14ac:dyDescent="0.2">
      <c r="B265" s="269"/>
      <c r="C265" s="269"/>
      <c r="E265" s="269"/>
      <c r="H265" s="269"/>
      <c r="J265" s="269"/>
      <c r="K265" s="269"/>
      <c r="L265" s="269"/>
      <c r="M265" s="269"/>
      <c r="N265" s="269"/>
      <c r="O265" s="269"/>
    </row>
    <row r="266" spans="2:15" ht="9.75" customHeight="1" x14ac:dyDescent="0.2">
      <c r="B266" s="269"/>
      <c r="C266" s="269"/>
      <c r="E266" s="269"/>
      <c r="H266" s="269"/>
      <c r="J266" s="269"/>
      <c r="K266" s="269"/>
      <c r="L266" s="269"/>
      <c r="M266" s="269"/>
      <c r="N266" s="269"/>
      <c r="O266" s="269"/>
    </row>
    <row r="267" spans="2:15" ht="9.75" customHeight="1" x14ac:dyDescent="0.2">
      <c r="B267" s="269"/>
      <c r="C267" s="269"/>
      <c r="E267" s="269"/>
      <c r="H267" s="269"/>
      <c r="J267" s="269"/>
      <c r="K267" s="269"/>
      <c r="L267" s="269"/>
      <c r="M267" s="269"/>
      <c r="N267" s="269"/>
      <c r="O267" s="269"/>
    </row>
    <row r="268" spans="2:15" ht="9.75" customHeight="1" x14ac:dyDescent="0.2">
      <c r="B268" s="269"/>
      <c r="C268" s="269"/>
      <c r="E268" s="269"/>
      <c r="H268" s="269"/>
      <c r="J268" s="269"/>
      <c r="K268" s="269"/>
      <c r="L268" s="269"/>
      <c r="M268" s="269"/>
      <c r="N268" s="269"/>
      <c r="O268" s="269"/>
    </row>
    <row r="269" spans="2:15" ht="9.75" customHeight="1" x14ac:dyDescent="0.2">
      <c r="B269" s="269"/>
      <c r="C269" s="269"/>
      <c r="E269" s="269"/>
      <c r="H269" s="269"/>
      <c r="J269" s="269"/>
      <c r="K269" s="269"/>
      <c r="L269" s="269"/>
      <c r="M269" s="269"/>
      <c r="N269" s="269"/>
      <c r="O269" s="269"/>
    </row>
    <row r="270" spans="2:15" ht="9.75" customHeight="1" x14ac:dyDescent="0.2">
      <c r="B270" s="269"/>
      <c r="C270" s="269"/>
      <c r="E270" s="269"/>
      <c r="H270" s="269"/>
      <c r="J270" s="269"/>
      <c r="K270" s="269"/>
      <c r="L270" s="269"/>
      <c r="M270" s="269"/>
      <c r="N270" s="269"/>
      <c r="O270" s="269"/>
    </row>
    <row r="271" spans="2:15" ht="9.75" customHeight="1" x14ac:dyDescent="0.2">
      <c r="B271" s="269"/>
      <c r="C271" s="269"/>
      <c r="E271" s="269"/>
      <c r="H271" s="269"/>
      <c r="J271" s="269"/>
      <c r="K271" s="269"/>
      <c r="L271" s="269"/>
      <c r="M271" s="269"/>
      <c r="N271" s="269"/>
      <c r="O271" s="269"/>
    </row>
    <row r="272" spans="2:15" ht="9.75" customHeight="1" x14ac:dyDescent="0.2">
      <c r="B272" s="269"/>
      <c r="C272" s="269"/>
      <c r="E272" s="269"/>
      <c r="H272" s="269"/>
      <c r="J272" s="269"/>
      <c r="K272" s="269"/>
      <c r="L272" s="269"/>
      <c r="M272" s="269"/>
      <c r="N272" s="269"/>
      <c r="O272" s="269"/>
    </row>
    <row r="273" spans="2:15" ht="9.75" customHeight="1" x14ac:dyDescent="0.2">
      <c r="B273" s="269"/>
      <c r="C273" s="269"/>
      <c r="E273" s="269"/>
      <c r="H273" s="269"/>
      <c r="J273" s="269"/>
      <c r="K273" s="269"/>
      <c r="L273" s="269"/>
      <c r="M273" s="269"/>
      <c r="N273" s="269"/>
      <c r="O273" s="269"/>
    </row>
    <row r="274" spans="2:15" ht="9.75" customHeight="1" x14ac:dyDescent="0.2">
      <c r="B274" s="269"/>
      <c r="C274" s="269"/>
      <c r="E274" s="269"/>
      <c r="H274" s="269"/>
      <c r="J274" s="269"/>
      <c r="K274" s="269"/>
      <c r="L274" s="269"/>
      <c r="M274" s="269"/>
      <c r="N274" s="269"/>
      <c r="O274" s="269"/>
    </row>
    <row r="275" spans="2:15" ht="9.75" customHeight="1" x14ac:dyDescent="0.2">
      <c r="B275" s="269"/>
      <c r="C275" s="269"/>
      <c r="E275" s="269"/>
      <c r="H275" s="269"/>
      <c r="J275" s="269"/>
      <c r="K275" s="269"/>
      <c r="L275" s="269"/>
      <c r="M275" s="269"/>
      <c r="N275" s="269"/>
      <c r="O275" s="269"/>
    </row>
    <row r="276" spans="2:15" ht="9.75" customHeight="1" x14ac:dyDescent="0.2">
      <c r="B276" s="269"/>
      <c r="C276" s="269"/>
      <c r="E276" s="269"/>
      <c r="H276" s="269"/>
      <c r="J276" s="269"/>
      <c r="K276" s="269"/>
      <c r="L276" s="269"/>
      <c r="M276" s="269"/>
      <c r="N276" s="269"/>
      <c r="O276" s="269"/>
    </row>
    <row r="277" spans="2:15" ht="9.75" customHeight="1" x14ac:dyDescent="0.2">
      <c r="B277" s="269"/>
      <c r="C277" s="269"/>
      <c r="E277" s="269"/>
      <c r="H277" s="269"/>
      <c r="J277" s="269"/>
      <c r="K277" s="269"/>
      <c r="L277" s="269"/>
      <c r="M277" s="269"/>
      <c r="N277" s="269"/>
      <c r="O277" s="269"/>
    </row>
    <row r="278" spans="2:15" ht="9.75" customHeight="1" x14ac:dyDescent="0.2">
      <c r="B278" s="269"/>
      <c r="C278" s="269"/>
      <c r="E278" s="269"/>
      <c r="H278" s="269"/>
      <c r="J278" s="269"/>
      <c r="K278" s="269"/>
      <c r="L278" s="269"/>
      <c r="M278" s="269"/>
      <c r="N278" s="269"/>
      <c r="O278" s="269"/>
    </row>
    <row r="279" spans="2:15" ht="9.75" customHeight="1" x14ac:dyDescent="0.2">
      <c r="B279" s="269"/>
      <c r="C279" s="269"/>
      <c r="E279" s="269"/>
      <c r="H279" s="269"/>
      <c r="J279" s="269"/>
      <c r="K279" s="269"/>
      <c r="L279" s="269"/>
      <c r="M279" s="269"/>
      <c r="N279" s="269"/>
      <c r="O279" s="269"/>
    </row>
    <row r="280" spans="2:15" ht="9.75" customHeight="1" x14ac:dyDescent="0.2">
      <c r="B280" s="269"/>
      <c r="C280" s="269"/>
      <c r="E280" s="269"/>
      <c r="H280" s="269"/>
      <c r="J280" s="269"/>
      <c r="K280" s="269"/>
      <c r="L280" s="269"/>
      <c r="M280" s="269"/>
      <c r="N280" s="269"/>
      <c r="O280" s="269"/>
    </row>
    <row r="281" spans="2:15" ht="9.75" customHeight="1" x14ac:dyDescent="0.2">
      <c r="B281" s="269"/>
      <c r="C281" s="269"/>
      <c r="E281" s="269"/>
      <c r="H281" s="269"/>
      <c r="J281" s="269"/>
      <c r="K281" s="269"/>
      <c r="L281" s="269"/>
      <c r="M281" s="269"/>
      <c r="N281" s="269"/>
      <c r="O281" s="269"/>
    </row>
    <row r="282" spans="2:15" ht="9.75" customHeight="1" x14ac:dyDescent="0.2">
      <c r="B282" s="269"/>
      <c r="C282" s="269"/>
      <c r="E282" s="269"/>
      <c r="H282" s="269"/>
      <c r="J282" s="269"/>
      <c r="K282" s="269"/>
      <c r="L282" s="269"/>
      <c r="M282" s="269"/>
      <c r="N282" s="269"/>
      <c r="O282" s="269"/>
    </row>
    <row r="283" spans="2:15" ht="9.75" customHeight="1" x14ac:dyDescent="0.2">
      <c r="B283" s="269"/>
      <c r="C283" s="269"/>
      <c r="E283" s="269"/>
      <c r="H283" s="269"/>
      <c r="J283" s="269"/>
      <c r="K283" s="269"/>
      <c r="L283" s="269"/>
      <c r="M283" s="269"/>
      <c r="N283" s="269"/>
      <c r="O283" s="269"/>
    </row>
    <row r="284" spans="2:15" ht="9.75" customHeight="1" x14ac:dyDescent="0.2">
      <c r="B284" s="269"/>
      <c r="C284" s="269"/>
      <c r="E284" s="269"/>
      <c r="H284" s="269"/>
      <c r="J284" s="269"/>
      <c r="K284" s="269"/>
      <c r="L284" s="269"/>
      <c r="M284" s="269"/>
      <c r="N284" s="269"/>
      <c r="O284" s="269"/>
    </row>
    <row r="285" spans="2:15" ht="9.75" customHeight="1" x14ac:dyDescent="0.2">
      <c r="B285" s="269"/>
      <c r="C285" s="269"/>
      <c r="E285" s="269"/>
      <c r="H285" s="269"/>
      <c r="J285" s="269"/>
      <c r="K285" s="269"/>
      <c r="L285" s="269"/>
      <c r="M285" s="269"/>
      <c r="N285" s="269"/>
      <c r="O285" s="269"/>
    </row>
    <row r="286" spans="2:15" ht="9.75" customHeight="1" x14ac:dyDescent="0.2">
      <c r="B286" s="269"/>
      <c r="C286" s="269"/>
      <c r="E286" s="269"/>
      <c r="H286" s="269"/>
      <c r="J286" s="269"/>
      <c r="K286" s="269"/>
      <c r="L286" s="269"/>
      <c r="M286" s="269"/>
      <c r="N286" s="269"/>
      <c r="O286" s="269"/>
    </row>
    <row r="287" spans="2:15" ht="9.75" customHeight="1" x14ac:dyDescent="0.2">
      <c r="B287" s="269"/>
      <c r="C287" s="269"/>
      <c r="E287" s="269"/>
      <c r="H287" s="269"/>
      <c r="J287" s="269"/>
      <c r="K287" s="269"/>
      <c r="L287" s="269"/>
      <c r="M287" s="269"/>
      <c r="N287" s="269"/>
      <c r="O287" s="269"/>
    </row>
    <row r="288" spans="2:15" ht="9.75" customHeight="1" x14ac:dyDescent="0.2">
      <c r="B288" s="269"/>
      <c r="C288" s="269"/>
      <c r="E288" s="269"/>
      <c r="H288" s="269"/>
      <c r="J288" s="269"/>
      <c r="K288" s="269"/>
      <c r="L288" s="269"/>
      <c r="M288" s="269"/>
      <c r="N288" s="269"/>
      <c r="O288" s="269"/>
    </row>
    <row r="289" spans="2:15" ht="9.75" customHeight="1" x14ac:dyDescent="0.2">
      <c r="B289" s="269"/>
      <c r="C289" s="269"/>
      <c r="E289" s="269"/>
      <c r="H289" s="269"/>
      <c r="J289" s="269"/>
      <c r="K289" s="269"/>
      <c r="L289" s="269"/>
      <c r="M289" s="269"/>
      <c r="N289" s="269"/>
      <c r="O289" s="269"/>
    </row>
    <row r="290" spans="2:15" ht="9.75" customHeight="1" x14ac:dyDescent="0.2">
      <c r="B290" s="269"/>
      <c r="C290" s="269"/>
      <c r="E290" s="269"/>
      <c r="H290" s="269"/>
      <c r="J290" s="269"/>
      <c r="K290" s="269"/>
      <c r="L290" s="269"/>
      <c r="M290" s="269"/>
      <c r="N290" s="269"/>
      <c r="O290" s="269"/>
    </row>
    <row r="291" spans="2:15" ht="9.75" customHeight="1" x14ac:dyDescent="0.2">
      <c r="B291" s="269"/>
      <c r="C291" s="269"/>
      <c r="E291" s="269"/>
      <c r="H291" s="269"/>
      <c r="J291" s="269"/>
      <c r="K291" s="269"/>
      <c r="L291" s="269"/>
      <c r="M291" s="269"/>
      <c r="N291" s="269"/>
      <c r="O291" s="269"/>
    </row>
    <row r="292" spans="2:15" ht="9.75" customHeight="1" x14ac:dyDescent="0.2">
      <c r="B292" s="269"/>
      <c r="C292" s="269"/>
      <c r="E292" s="269"/>
      <c r="H292" s="269"/>
      <c r="J292" s="269"/>
      <c r="K292" s="269"/>
      <c r="L292" s="269"/>
      <c r="M292" s="269"/>
      <c r="N292" s="269"/>
      <c r="O292" s="269"/>
    </row>
    <row r="293" spans="2:15" ht="9.75" customHeight="1" x14ac:dyDescent="0.2">
      <c r="B293" s="269"/>
      <c r="C293" s="269"/>
      <c r="E293" s="269"/>
      <c r="H293" s="269"/>
      <c r="J293" s="269"/>
      <c r="K293" s="269"/>
      <c r="L293" s="269"/>
      <c r="M293" s="269"/>
      <c r="N293" s="269"/>
      <c r="O293" s="269"/>
    </row>
    <row r="294" spans="2:15" ht="9.75" customHeight="1" x14ac:dyDescent="0.2">
      <c r="B294" s="269"/>
      <c r="C294" s="269"/>
      <c r="E294" s="269"/>
      <c r="H294" s="269"/>
      <c r="J294" s="269"/>
      <c r="K294" s="269"/>
      <c r="L294" s="269"/>
      <c r="M294" s="269"/>
      <c r="N294" s="269"/>
      <c r="O294" s="269"/>
    </row>
    <row r="295" spans="2:15" ht="9.75" customHeight="1" x14ac:dyDescent="0.2">
      <c r="B295" s="269"/>
      <c r="C295" s="269"/>
      <c r="E295" s="269"/>
      <c r="H295" s="269"/>
      <c r="J295" s="269"/>
      <c r="K295" s="269"/>
      <c r="L295" s="269"/>
      <c r="M295" s="269"/>
      <c r="N295" s="269"/>
      <c r="O295" s="269"/>
    </row>
    <row r="296" spans="2:15" ht="9.75" customHeight="1" x14ac:dyDescent="0.2">
      <c r="B296" s="269"/>
      <c r="C296" s="269"/>
      <c r="E296" s="269"/>
      <c r="H296" s="269"/>
      <c r="J296" s="269"/>
      <c r="K296" s="269"/>
      <c r="L296" s="269"/>
      <c r="M296" s="269"/>
      <c r="N296" s="269"/>
      <c r="O296" s="269"/>
    </row>
    <row r="297" spans="2:15" ht="9.75" customHeight="1" x14ac:dyDescent="0.2">
      <c r="B297" s="269"/>
      <c r="C297" s="269"/>
      <c r="E297" s="269"/>
      <c r="H297" s="269"/>
      <c r="J297" s="269"/>
      <c r="K297" s="269"/>
      <c r="L297" s="269"/>
      <c r="M297" s="269"/>
      <c r="N297" s="269"/>
      <c r="O297" s="269"/>
    </row>
    <row r="298" spans="2:15" ht="9.75" customHeight="1" x14ac:dyDescent="0.2">
      <c r="B298" s="269"/>
      <c r="C298" s="269"/>
      <c r="E298" s="269"/>
      <c r="H298" s="269"/>
      <c r="J298" s="269"/>
      <c r="K298" s="269"/>
      <c r="L298" s="269"/>
      <c r="M298" s="269"/>
      <c r="N298" s="269"/>
      <c r="O298" s="269"/>
    </row>
    <row r="299" spans="2:15" ht="9.75" customHeight="1" x14ac:dyDescent="0.2">
      <c r="B299" s="269"/>
      <c r="C299" s="269"/>
      <c r="E299" s="269"/>
      <c r="H299" s="269"/>
      <c r="J299" s="269"/>
      <c r="K299" s="269"/>
      <c r="L299" s="269"/>
      <c r="M299" s="269"/>
      <c r="N299" s="269"/>
      <c r="O299" s="269"/>
    </row>
    <row r="300" spans="2:15" ht="9.75" customHeight="1" x14ac:dyDescent="0.2">
      <c r="B300" s="269"/>
      <c r="C300" s="269"/>
      <c r="E300" s="269"/>
      <c r="H300" s="269"/>
      <c r="J300" s="269"/>
      <c r="K300" s="269"/>
      <c r="L300" s="269"/>
      <c r="M300" s="269"/>
      <c r="N300" s="269"/>
      <c r="O300" s="269"/>
    </row>
    <row r="301" spans="2:15" ht="9.75" customHeight="1" x14ac:dyDescent="0.2">
      <c r="B301" s="269"/>
      <c r="C301" s="269"/>
      <c r="E301" s="269"/>
      <c r="H301" s="269"/>
      <c r="J301" s="269"/>
      <c r="K301" s="269"/>
      <c r="L301" s="269"/>
      <c r="M301" s="269"/>
      <c r="N301" s="269"/>
      <c r="O301" s="269"/>
    </row>
    <row r="302" spans="2:15" ht="9.75" customHeight="1" x14ac:dyDescent="0.2">
      <c r="B302" s="269"/>
      <c r="C302" s="269"/>
      <c r="E302" s="269"/>
      <c r="H302" s="269"/>
      <c r="J302" s="269"/>
      <c r="K302" s="269"/>
      <c r="L302" s="269"/>
      <c r="M302" s="269"/>
      <c r="N302" s="269"/>
      <c r="O302" s="269"/>
    </row>
    <row r="303" spans="2:15" ht="9.75" customHeight="1" x14ac:dyDescent="0.2">
      <c r="B303" s="269"/>
      <c r="C303" s="269"/>
      <c r="E303" s="269"/>
      <c r="H303" s="269"/>
      <c r="J303" s="269"/>
      <c r="K303" s="269"/>
      <c r="L303" s="269"/>
      <c r="M303" s="269"/>
      <c r="N303" s="269"/>
      <c r="O303" s="269"/>
    </row>
    <row r="304" spans="2:15" ht="9.75" customHeight="1" x14ac:dyDescent="0.2">
      <c r="B304" s="269"/>
      <c r="C304" s="269"/>
      <c r="E304" s="269"/>
      <c r="H304" s="269"/>
      <c r="J304" s="269"/>
      <c r="K304" s="269"/>
      <c r="L304" s="269"/>
      <c r="M304" s="269"/>
      <c r="N304" s="269"/>
      <c r="O304" s="269"/>
    </row>
    <row r="305" spans="2:15" ht="9.75" customHeight="1" x14ac:dyDescent="0.2">
      <c r="B305" s="269"/>
      <c r="C305" s="269"/>
      <c r="E305" s="269"/>
      <c r="H305" s="269"/>
      <c r="J305" s="269"/>
      <c r="K305" s="269"/>
      <c r="L305" s="269"/>
      <c r="M305" s="269"/>
      <c r="N305" s="269"/>
      <c r="O305" s="269"/>
    </row>
    <row r="306" spans="2:15" ht="9.75" customHeight="1" x14ac:dyDescent="0.2">
      <c r="B306" s="269"/>
      <c r="C306" s="269"/>
      <c r="E306" s="269"/>
      <c r="H306" s="269"/>
      <c r="J306" s="269"/>
      <c r="K306" s="269"/>
      <c r="L306" s="269"/>
      <c r="M306" s="269"/>
      <c r="N306" s="269"/>
      <c r="O306" s="269"/>
    </row>
    <row r="307" spans="2:15" ht="9.75" customHeight="1" x14ac:dyDescent="0.2">
      <c r="B307" s="269"/>
      <c r="C307" s="269"/>
      <c r="E307" s="269"/>
      <c r="H307" s="269"/>
      <c r="J307" s="269"/>
      <c r="K307" s="269"/>
      <c r="L307" s="269"/>
      <c r="M307" s="269"/>
      <c r="N307" s="269"/>
      <c r="O307" s="269"/>
    </row>
    <row r="308" spans="2:15" ht="9.75" customHeight="1" x14ac:dyDescent="0.2">
      <c r="B308" s="269"/>
      <c r="C308" s="269"/>
      <c r="E308" s="269"/>
      <c r="H308" s="269"/>
      <c r="J308" s="269"/>
      <c r="K308" s="269"/>
      <c r="L308" s="269"/>
      <c r="M308" s="269"/>
      <c r="N308" s="269"/>
      <c r="O308" s="269"/>
    </row>
    <row r="309" spans="2:15" ht="9.75" customHeight="1" x14ac:dyDescent="0.2">
      <c r="B309" s="269"/>
      <c r="C309" s="269"/>
      <c r="E309" s="269"/>
      <c r="H309" s="269"/>
      <c r="J309" s="269"/>
      <c r="K309" s="269"/>
      <c r="L309" s="269"/>
      <c r="M309" s="269"/>
      <c r="N309" s="269"/>
      <c r="O309" s="269"/>
    </row>
    <row r="310" spans="2:15" ht="9.75" customHeight="1" x14ac:dyDescent="0.2">
      <c r="B310" s="269"/>
      <c r="C310" s="269"/>
      <c r="E310" s="269"/>
      <c r="H310" s="269"/>
      <c r="J310" s="269"/>
      <c r="K310" s="269"/>
      <c r="L310" s="269"/>
      <c r="M310" s="269"/>
      <c r="N310" s="269"/>
      <c r="O310" s="269"/>
    </row>
    <row r="311" spans="2:15" ht="9.75" customHeight="1" x14ac:dyDescent="0.2">
      <c r="B311" s="269"/>
      <c r="C311" s="269"/>
      <c r="E311" s="269"/>
      <c r="H311" s="269"/>
      <c r="J311" s="269"/>
      <c r="K311" s="269"/>
      <c r="L311" s="269"/>
      <c r="M311" s="269"/>
      <c r="N311" s="269"/>
      <c r="O311" s="269"/>
    </row>
    <row r="312" spans="2:15" ht="9.75" customHeight="1" x14ac:dyDescent="0.2">
      <c r="B312" s="269"/>
      <c r="C312" s="269"/>
      <c r="E312" s="269"/>
      <c r="H312" s="269"/>
      <c r="J312" s="269"/>
      <c r="K312" s="269"/>
      <c r="L312" s="269"/>
      <c r="M312" s="269"/>
      <c r="N312" s="269"/>
      <c r="O312" s="269"/>
    </row>
    <row r="313" spans="2:15" ht="9.75" customHeight="1" x14ac:dyDescent="0.2">
      <c r="B313" s="269"/>
      <c r="C313" s="269"/>
      <c r="E313" s="269"/>
      <c r="H313" s="269"/>
      <c r="J313" s="269"/>
      <c r="K313" s="269"/>
      <c r="L313" s="269"/>
      <c r="M313" s="269"/>
      <c r="N313" s="269"/>
      <c r="O313" s="269"/>
    </row>
    <row r="314" spans="2:15" ht="9.75" customHeight="1" x14ac:dyDescent="0.2">
      <c r="B314" s="269"/>
      <c r="C314" s="269"/>
      <c r="E314" s="269"/>
      <c r="H314" s="269"/>
      <c r="J314" s="269"/>
      <c r="K314" s="269"/>
      <c r="L314" s="269"/>
      <c r="M314" s="269"/>
      <c r="N314" s="269"/>
      <c r="O314" s="269"/>
    </row>
    <row r="315" spans="2:15" ht="9.75" customHeight="1" x14ac:dyDescent="0.2">
      <c r="B315" s="269"/>
      <c r="C315" s="269"/>
      <c r="E315" s="269"/>
      <c r="H315" s="269"/>
      <c r="J315" s="269"/>
      <c r="K315" s="269"/>
      <c r="L315" s="269"/>
      <c r="M315" s="269"/>
      <c r="N315" s="269"/>
      <c r="O315" s="269"/>
    </row>
    <row r="316" spans="2:15" ht="9.75" customHeight="1" x14ac:dyDescent="0.2">
      <c r="B316" s="269"/>
      <c r="C316" s="269"/>
      <c r="E316" s="269"/>
      <c r="H316" s="269"/>
      <c r="J316" s="269"/>
      <c r="K316" s="269"/>
      <c r="L316" s="269"/>
      <c r="M316" s="269"/>
      <c r="N316" s="269"/>
      <c r="O316" s="269"/>
    </row>
    <row r="317" spans="2:15" ht="9.75" customHeight="1" x14ac:dyDescent="0.2">
      <c r="B317" s="269"/>
      <c r="C317" s="269"/>
      <c r="E317" s="269"/>
      <c r="H317" s="269"/>
      <c r="J317" s="269"/>
      <c r="K317" s="269"/>
      <c r="L317" s="269"/>
      <c r="M317" s="269"/>
      <c r="N317" s="269"/>
      <c r="O317" s="269"/>
    </row>
    <row r="318" spans="2:15" ht="9.75" customHeight="1" x14ac:dyDescent="0.2">
      <c r="B318" s="269"/>
      <c r="C318" s="269"/>
      <c r="E318" s="269"/>
      <c r="H318" s="269"/>
      <c r="J318" s="269"/>
      <c r="K318" s="269"/>
      <c r="L318" s="269"/>
      <c r="M318" s="269"/>
      <c r="N318" s="269"/>
      <c r="O318" s="269"/>
    </row>
    <row r="319" spans="2:15" ht="9.75" customHeight="1" x14ac:dyDescent="0.2">
      <c r="B319" s="269"/>
      <c r="C319" s="269"/>
      <c r="E319" s="269"/>
      <c r="H319" s="269"/>
      <c r="J319" s="269"/>
      <c r="K319" s="269"/>
      <c r="L319" s="269"/>
      <c r="M319" s="269"/>
      <c r="N319" s="269"/>
      <c r="O319" s="269"/>
    </row>
    <row r="320" spans="2:15" ht="9.75" customHeight="1" x14ac:dyDescent="0.2">
      <c r="B320" s="269"/>
      <c r="C320" s="269"/>
      <c r="E320" s="269"/>
      <c r="H320" s="269"/>
      <c r="J320" s="269"/>
      <c r="K320" s="269"/>
      <c r="L320" s="269"/>
      <c r="M320" s="269"/>
      <c r="N320" s="269"/>
      <c r="O320" s="269"/>
    </row>
    <row r="321" spans="2:15" ht="9.75" customHeight="1" x14ac:dyDescent="0.2">
      <c r="B321" s="269"/>
      <c r="C321" s="269"/>
      <c r="E321" s="269"/>
      <c r="H321" s="269"/>
      <c r="J321" s="269"/>
      <c r="K321" s="269"/>
      <c r="L321" s="269"/>
      <c r="M321" s="269"/>
      <c r="N321" s="269"/>
      <c r="O321" s="269"/>
    </row>
    <row r="322" spans="2:15" ht="9.75" customHeight="1" x14ac:dyDescent="0.2">
      <c r="B322" s="269"/>
      <c r="C322" s="269"/>
      <c r="E322" s="269"/>
      <c r="H322" s="269"/>
      <c r="J322" s="269"/>
      <c r="K322" s="269"/>
      <c r="L322" s="269"/>
      <c r="M322" s="269"/>
      <c r="N322" s="269"/>
      <c r="O322" s="269"/>
    </row>
    <row r="323" spans="2:15" ht="9.75" customHeight="1" x14ac:dyDescent="0.2">
      <c r="B323" s="269"/>
      <c r="C323" s="269"/>
      <c r="E323" s="269"/>
      <c r="H323" s="269"/>
      <c r="J323" s="269"/>
      <c r="K323" s="269"/>
      <c r="L323" s="269"/>
      <c r="M323" s="269"/>
      <c r="N323" s="269"/>
      <c r="O323" s="269"/>
    </row>
    <row r="324" spans="2:15" ht="9.75" customHeight="1" x14ac:dyDescent="0.2">
      <c r="B324" s="269"/>
      <c r="C324" s="269"/>
      <c r="E324" s="269"/>
      <c r="H324" s="269"/>
      <c r="J324" s="269"/>
      <c r="K324" s="269"/>
      <c r="L324" s="269"/>
      <c r="M324" s="269"/>
      <c r="N324" s="269"/>
      <c r="O324" s="269"/>
    </row>
    <row r="325" spans="2:15" ht="9.75" customHeight="1" x14ac:dyDescent="0.2">
      <c r="B325" s="269"/>
      <c r="C325" s="269"/>
      <c r="E325" s="269"/>
      <c r="H325" s="269"/>
      <c r="J325" s="269"/>
      <c r="K325" s="269"/>
      <c r="L325" s="269"/>
      <c r="M325" s="269"/>
      <c r="N325" s="269"/>
      <c r="O325" s="269"/>
    </row>
    <row r="326" spans="2:15" ht="9.75" customHeight="1" x14ac:dyDescent="0.2">
      <c r="B326" s="269"/>
      <c r="C326" s="269"/>
      <c r="E326" s="269"/>
      <c r="H326" s="269"/>
      <c r="J326" s="269"/>
      <c r="K326" s="269"/>
      <c r="L326" s="269"/>
      <c r="M326" s="269"/>
      <c r="N326" s="269"/>
      <c r="O326" s="269"/>
    </row>
    <row r="327" spans="2:15" ht="9.75" customHeight="1" x14ac:dyDescent="0.2">
      <c r="B327" s="269"/>
      <c r="C327" s="269"/>
      <c r="E327" s="269"/>
      <c r="H327" s="269"/>
      <c r="J327" s="269"/>
      <c r="K327" s="269"/>
      <c r="L327" s="269"/>
      <c r="M327" s="269"/>
      <c r="N327" s="269"/>
      <c r="O327" s="269"/>
    </row>
    <row r="328" spans="2:15" ht="9.75" customHeight="1" x14ac:dyDescent="0.2">
      <c r="B328" s="269"/>
      <c r="C328" s="269"/>
      <c r="E328" s="269"/>
      <c r="H328" s="269"/>
      <c r="J328" s="269"/>
      <c r="K328" s="269"/>
      <c r="L328" s="269"/>
      <c r="M328" s="269"/>
      <c r="N328" s="269"/>
      <c r="O328" s="269"/>
    </row>
    <row r="329" spans="2:15" ht="9.75" customHeight="1" x14ac:dyDescent="0.2">
      <c r="B329" s="269"/>
      <c r="C329" s="269"/>
      <c r="E329" s="269"/>
      <c r="H329" s="269"/>
      <c r="J329" s="269"/>
      <c r="K329" s="269"/>
      <c r="L329" s="269"/>
      <c r="M329" s="269"/>
      <c r="N329" s="269"/>
      <c r="O329" s="269"/>
    </row>
    <row r="330" spans="2:15" ht="9.75" customHeight="1" x14ac:dyDescent="0.2">
      <c r="B330" s="269"/>
      <c r="C330" s="269"/>
      <c r="E330" s="269"/>
      <c r="H330" s="269"/>
      <c r="J330" s="269"/>
      <c r="K330" s="269"/>
      <c r="L330" s="269"/>
      <c r="M330" s="269"/>
      <c r="N330" s="269"/>
      <c r="O330" s="269"/>
    </row>
    <row r="331" spans="2:15" ht="9.75" customHeight="1" x14ac:dyDescent="0.2">
      <c r="B331" s="269"/>
      <c r="C331" s="269"/>
      <c r="E331" s="269"/>
      <c r="H331" s="269"/>
      <c r="J331" s="269"/>
      <c r="K331" s="269"/>
      <c r="L331" s="269"/>
      <c r="M331" s="269"/>
      <c r="N331" s="269"/>
      <c r="O331" s="269"/>
    </row>
    <row r="332" spans="2:15" ht="9.75" customHeight="1" x14ac:dyDescent="0.2">
      <c r="B332" s="269"/>
      <c r="C332" s="269"/>
      <c r="E332" s="269"/>
      <c r="H332" s="269"/>
      <c r="J332" s="269"/>
      <c r="K332" s="269"/>
      <c r="L332" s="269"/>
      <c r="M332" s="269"/>
      <c r="N332" s="269"/>
      <c r="O332" s="269"/>
    </row>
    <row r="333" spans="2:15" ht="9.75" customHeight="1" x14ac:dyDescent="0.2">
      <c r="B333" s="269"/>
      <c r="C333" s="269"/>
      <c r="E333" s="269"/>
      <c r="H333" s="269"/>
      <c r="J333" s="269"/>
      <c r="K333" s="269"/>
      <c r="L333" s="269"/>
      <c r="M333" s="269"/>
      <c r="N333" s="269"/>
      <c r="O333" s="269"/>
    </row>
    <row r="334" spans="2:15" ht="9.75" customHeight="1" x14ac:dyDescent="0.2">
      <c r="B334" s="269"/>
      <c r="C334" s="269"/>
      <c r="E334" s="269"/>
      <c r="H334" s="269"/>
      <c r="J334" s="269"/>
      <c r="K334" s="269"/>
      <c r="L334" s="269"/>
      <c r="M334" s="269"/>
      <c r="N334" s="269"/>
      <c r="O334" s="269"/>
    </row>
    <row r="335" spans="2:15" ht="9.75" customHeight="1" x14ac:dyDescent="0.2">
      <c r="B335" s="269"/>
      <c r="C335" s="269"/>
      <c r="E335" s="269"/>
      <c r="H335" s="269"/>
      <c r="J335" s="269"/>
      <c r="K335" s="269"/>
      <c r="L335" s="269"/>
      <c r="M335" s="269"/>
      <c r="N335" s="269"/>
      <c r="O335" s="269"/>
    </row>
    <row r="336" spans="2:15" ht="9.75" customHeight="1" x14ac:dyDescent="0.2">
      <c r="B336" s="269"/>
      <c r="C336" s="269"/>
      <c r="E336" s="269"/>
      <c r="H336" s="269"/>
      <c r="J336" s="269"/>
      <c r="K336" s="269"/>
      <c r="L336" s="269"/>
      <c r="M336" s="269"/>
      <c r="N336" s="269"/>
      <c r="O336" s="269"/>
    </row>
    <row r="337" spans="2:15" ht="9.75" customHeight="1" x14ac:dyDescent="0.2">
      <c r="B337" s="269"/>
      <c r="C337" s="269"/>
      <c r="E337" s="269"/>
      <c r="H337" s="269"/>
      <c r="J337" s="269"/>
      <c r="K337" s="269"/>
      <c r="L337" s="269"/>
      <c r="M337" s="269"/>
      <c r="N337" s="269"/>
      <c r="O337" s="269"/>
    </row>
    <row r="338" spans="2:15" ht="9.75" customHeight="1" x14ac:dyDescent="0.2">
      <c r="B338" s="269"/>
      <c r="C338" s="269"/>
      <c r="E338" s="269"/>
      <c r="H338" s="269"/>
      <c r="J338" s="269"/>
      <c r="K338" s="269"/>
      <c r="L338" s="269"/>
      <c r="M338" s="269"/>
      <c r="N338" s="269"/>
      <c r="O338" s="269"/>
    </row>
    <row r="339" spans="2:15" ht="9.75" customHeight="1" x14ac:dyDescent="0.2">
      <c r="B339" s="269"/>
      <c r="C339" s="269"/>
      <c r="E339" s="269"/>
      <c r="H339" s="269"/>
      <c r="J339" s="269"/>
      <c r="K339" s="269"/>
      <c r="L339" s="269"/>
      <c r="M339" s="269"/>
      <c r="N339" s="269"/>
      <c r="O339" s="269"/>
    </row>
    <row r="340" spans="2:15" ht="9.75" customHeight="1" x14ac:dyDescent="0.2">
      <c r="B340" s="269"/>
      <c r="C340" s="269"/>
      <c r="E340" s="269"/>
      <c r="H340" s="269"/>
      <c r="J340" s="269"/>
      <c r="K340" s="269"/>
      <c r="L340" s="269"/>
      <c r="M340" s="269"/>
      <c r="N340" s="269"/>
      <c r="O340" s="269"/>
    </row>
    <row r="341" spans="2:15" ht="9.75" customHeight="1" x14ac:dyDescent="0.2">
      <c r="B341" s="269"/>
      <c r="C341" s="269"/>
      <c r="E341" s="269"/>
      <c r="H341" s="269"/>
      <c r="J341" s="269"/>
      <c r="K341" s="269"/>
      <c r="L341" s="269"/>
      <c r="M341" s="269"/>
      <c r="N341" s="269"/>
      <c r="O341" s="269"/>
    </row>
    <row r="342" spans="2:15" ht="9.75" customHeight="1" x14ac:dyDescent="0.2">
      <c r="B342" s="269"/>
      <c r="C342" s="269"/>
      <c r="E342" s="269"/>
      <c r="H342" s="269"/>
      <c r="J342" s="269"/>
      <c r="K342" s="269"/>
      <c r="L342" s="269"/>
      <c r="M342" s="269"/>
      <c r="N342" s="269"/>
      <c r="O342" s="269"/>
    </row>
    <row r="343" spans="2:15" ht="9.75" customHeight="1" x14ac:dyDescent="0.2">
      <c r="B343" s="269"/>
      <c r="C343" s="269"/>
      <c r="E343" s="269"/>
      <c r="H343" s="269"/>
      <c r="J343" s="269"/>
      <c r="K343" s="269"/>
      <c r="L343" s="269"/>
      <c r="M343" s="269"/>
      <c r="N343" s="269"/>
      <c r="O343" s="269"/>
    </row>
    <row r="344" spans="2:15" ht="9.75" customHeight="1" x14ac:dyDescent="0.2">
      <c r="B344" s="269"/>
      <c r="C344" s="269"/>
      <c r="E344" s="269"/>
      <c r="H344" s="269"/>
      <c r="J344" s="269"/>
      <c r="K344" s="269"/>
      <c r="L344" s="269"/>
      <c r="M344" s="269"/>
      <c r="N344" s="269"/>
      <c r="O344" s="269"/>
    </row>
    <row r="345" spans="2:15" ht="9.75" customHeight="1" x14ac:dyDescent="0.2">
      <c r="B345" s="269"/>
      <c r="C345" s="269"/>
      <c r="E345" s="269"/>
      <c r="H345" s="269"/>
      <c r="J345" s="269"/>
      <c r="K345" s="269"/>
      <c r="L345" s="269"/>
      <c r="M345" s="269"/>
      <c r="N345" s="269"/>
      <c r="O345" s="269"/>
    </row>
    <row r="346" spans="2:15" ht="9.75" customHeight="1" x14ac:dyDescent="0.2">
      <c r="B346" s="269"/>
      <c r="C346" s="269"/>
      <c r="E346" s="269"/>
      <c r="H346" s="269"/>
      <c r="J346" s="269"/>
      <c r="K346" s="269"/>
      <c r="L346" s="269"/>
      <c r="M346" s="269"/>
      <c r="N346" s="269"/>
      <c r="O346" s="269"/>
    </row>
    <row r="347" spans="2:15" ht="9.75" customHeight="1" x14ac:dyDescent="0.2">
      <c r="B347" s="269"/>
      <c r="C347" s="269"/>
      <c r="E347" s="269"/>
      <c r="H347" s="269"/>
      <c r="J347" s="269"/>
      <c r="K347" s="269"/>
      <c r="L347" s="269"/>
      <c r="M347" s="269"/>
      <c r="N347" s="269"/>
      <c r="O347" s="269"/>
    </row>
    <row r="348" spans="2:15" ht="9.75" customHeight="1" x14ac:dyDescent="0.2">
      <c r="B348" s="269"/>
      <c r="C348" s="269"/>
      <c r="E348" s="269"/>
      <c r="H348" s="269"/>
      <c r="J348" s="269"/>
      <c r="K348" s="269"/>
      <c r="L348" s="269"/>
      <c r="M348" s="269"/>
      <c r="N348" s="269"/>
      <c r="O348" s="269"/>
    </row>
    <row r="349" spans="2:15" ht="9.75" customHeight="1" x14ac:dyDescent="0.2">
      <c r="B349" s="269"/>
      <c r="C349" s="269"/>
      <c r="E349" s="269"/>
      <c r="H349" s="269"/>
      <c r="J349" s="269"/>
      <c r="K349" s="269"/>
      <c r="L349" s="269"/>
      <c r="M349" s="269"/>
      <c r="N349" s="269"/>
      <c r="O349" s="269"/>
    </row>
    <row r="350" spans="2:15" ht="9.75" customHeight="1" x14ac:dyDescent="0.2">
      <c r="B350" s="269"/>
      <c r="C350" s="269"/>
      <c r="E350" s="269"/>
      <c r="H350" s="269"/>
      <c r="J350" s="269"/>
      <c r="K350" s="269"/>
      <c r="L350" s="269"/>
      <c r="M350" s="269"/>
      <c r="N350" s="269"/>
      <c r="O350" s="269"/>
    </row>
    <row r="351" spans="2:15" ht="9.75" customHeight="1" x14ac:dyDescent="0.2">
      <c r="B351" s="269"/>
      <c r="C351" s="269"/>
      <c r="E351" s="269"/>
      <c r="H351" s="269"/>
      <c r="J351" s="269"/>
      <c r="K351" s="269"/>
      <c r="L351" s="269"/>
      <c r="M351" s="269"/>
      <c r="N351" s="269"/>
      <c r="O351" s="269"/>
    </row>
    <row r="352" spans="2:15" ht="9.75" customHeight="1" x14ac:dyDescent="0.2">
      <c r="B352" s="269"/>
      <c r="C352" s="269"/>
      <c r="E352" s="269"/>
      <c r="H352" s="269"/>
      <c r="J352" s="269"/>
      <c r="K352" s="269"/>
      <c r="L352" s="269"/>
      <c r="M352" s="269"/>
      <c r="N352" s="269"/>
      <c r="O352" s="269"/>
    </row>
    <row r="353" spans="2:15" ht="9.75" customHeight="1" x14ac:dyDescent="0.2">
      <c r="B353" s="269"/>
      <c r="C353" s="269"/>
      <c r="E353" s="269"/>
      <c r="H353" s="269"/>
      <c r="J353" s="269"/>
      <c r="K353" s="269"/>
      <c r="L353" s="269"/>
      <c r="M353" s="269"/>
      <c r="N353" s="269"/>
      <c r="O353" s="269"/>
    </row>
    <row r="354" spans="2:15" ht="9.75" customHeight="1" x14ac:dyDescent="0.2">
      <c r="B354" s="269"/>
      <c r="C354" s="269"/>
      <c r="E354" s="269"/>
      <c r="H354" s="269"/>
      <c r="J354" s="269"/>
      <c r="K354" s="269"/>
      <c r="L354" s="269"/>
      <c r="M354" s="269"/>
      <c r="N354" s="269"/>
      <c r="O354" s="269"/>
    </row>
    <row r="355" spans="2:15" ht="9.75" customHeight="1" x14ac:dyDescent="0.2">
      <c r="B355" s="269"/>
      <c r="C355" s="269"/>
      <c r="E355" s="269"/>
      <c r="H355" s="269"/>
      <c r="J355" s="269"/>
      <c r="K355" s="269"/>
      <c r="L355" s="269"/>
      <c r="M355" s="269"/>
      <c r="N355" s="269"/>
      <c r="O355" s="269"/>
    </row>
    <row r="356" spans="2:15" ht="9.75" customHeight="1" x14ac:dyDescent="0.2">
      <c r="B356" s="269"/>
      <c r="C356" s="269"/>
      <c r="E356" s="269"/>
      <c r="H356" s="269"/>
      <c r="J356" s="269"/>
      <c r="K356" s="269"/>
      <c r="L356" s="269"/>
      <c r="M356" s="269"/>
      <c r="N356" s="269"/>
      <c r="O356" s="269"/>
    </row>
    <row r="357" spans="2:15" ht="9.75" customHeight="1" x14ac:dyDescent="0.2">
      <c r="B357" s="269"/>
      <c r="C357" s="269"/>
      <c r="E357" s="269"/>
      <c r="H357" s="269"/>
      <c r="J357" s="269"/>
      <c r="K357" s="269"/>
      <c r="L357" s="269"/>
      <c r="M357" s="269"/>
      <c r="N357" s="269"/>
      <c r="O357" s="269"/>
    </row>
    <row r="358" spans="2:15" ht="9.75" customHeight="1" x14ac:dyDescent="0.2">
      <c r="B358" s="269"/>
      <c r="C358" s="269"/>
      <c r="E358" s="269"/>
      <c r="H358" s="269"/>
      <c r="J358" s="269"/>
      <c r="K358" s="269"/>
      <c r="L358" s="269"/>
      <c r="M358" s="269"/>
      <c r="N358" s="269"/>
      <c r="O358" s="269"/>
    </row>
    <row r="359" spans="2:15" ht="9.75" customHeight="1" x14ac:dyDescent="0.2">
      <c r="B359" s="269"/>
      <c r="C359" s="269"/>
      <c r="E359" s="269"/>
      <c r="H359" s="269"/>
      <c r="J359" s="269"/>
      <c r="K359" s="269"/>
      <c r="L359" s="269"/>
      <c r="M359" s="269"/>
      <c r="N359" s="269"/>
      <c r="O359" s="269"/>
    </row>
    <row r="360" spans="2:15" ht="9.75" customHeight="1" x14ac:dyDescent="0.2">
      <c r="B360" s="269"/>
      <c r="C360" s="269"/>
      <c r="E360" s="269"/>
      <c r="H360" s="269"/>
      <c r="J360" s="269"/>
      <c r="K360" s="269"/>
      <c r="L360" s="269"/>
      <c r="M360" s="269"/>
      <c r="N360" s="269"/>
      <c r="O360" s="269"/>
    </row>
    <row r="361" spans="2:15" ht="9.75" customHeight="1" x14ac:dyDescent="0.2">
      <c r="B361" s="269"/>
      <c r="C361" s="269"/>
      <c r="E361" s="269"/>
      <c r="H361" s="269"/>
      <c r="J361" s="269"/>
      <c r="K361" s="269"/>
      <c r="L361" s="269"/>
      <c r="M361" s="269"/>
      <c r="N361" s="269"/>
      <c r="O361" s="269"/>
    </row>
    <row r="362" spans="2:15" ht="9.75" customHeight="1" x14ac:dyDescent="0.2">
      <c r="B362" s="269"/>
      <c r="C362" s="269"/>
      <c r="E362" s="269"/>
      <c r="H362" s="269"/>
      <c r="J362" s="269"/>
      <c r="K362" s="269"/>
      <c r="L362" s="269"/>
      <c r="M362" s="269"/>
      <c r="N362" s="269"/>
      <c r="O362" s="269"/>
    </row>
    <row r="363" spans="2:15" ht="9.75" customHeight="1" x14ac:dyDescent="0.2">
      <c r="B363" s="269"/>
      <c r="C363" s="269"/>
      <c r="E363" s="269"/>
      <c r="H363" s="269"/>
      <c r="J363" s="269"/>
      <c r="K363" s="269"/>
      <c r="L363" s="269"/>
      <c r="M363" s="269"/>
      <c r="N363" s="269"/>
      <c r="O363" s="269"/>
    </row>
    <row r="364" spans="2:15" ht="9.75" customHeight="1" x14ac:dyDescent="0.2">
      <c r="B364" s="269"/>
      <c r="C364" s="269"/>
      <c r="E364" s="269"/>
      <c r="H364" s="269"/>
      <c r="J364" s="269"/>
      <c r="K364" s="269"/>
      <c r="L364" s="269"/>
      <c r="M364" s="269"/>
      <c r="N364" s="269"/>
      <c r="O364" s="269"/>
    </row>
    <row r="365" spans="2:15" ht="9.75" customHeight="1" x14ac:dyDescent="0.2">
      <c r="B365" s="269"/>
      <c r="C365" s="269"/>
      <c r="E365" s="269"/>
      <c r="H365" s="269"/>
      <c r="J365" s="269"/>
      <c r="K365" s="269"/>
      <c r="L365" s="269"/>
      <c r="M365" s="269"/>
      <c r="N365" s="269"/>
      <c r="O365" s="269"/>
    </row>
    <row r="366" spans="2:15" ht="9.75" customHeight="1" x14ac:dyDescent="0.2">
      <c r="B366" s="269"/>
      <c r="C366" s="269"/>
      <c r="E366" s="269"/>
      <c r="H366" s="269"/>
      <c r="J366" s="269"/>
      <c r="K366" s="269"/>
      <c r="L366" s="269"/>
      <c r="M366" s="269"/>
      <c r="N366" s="269"/>
      <c r="O366" s="269"/>
    </row>
    <row r="367" spans="2:15" ht="9.75" customHeight="1" x14ac:dyDescent="0.2">
      <c r="B367" s="269"/>
      <c r="C367" s="269"/>
      <c r="E367" s="269"/>
      <c r="H367" s="269"/>
      <c r="J367" s="269"/>
      <c r="K367" s="269"/>
      <c r="L367" s="269"/>
      <c r="M367" s="269"/>
      <c r="N367" s="269"/>
      <c r="O367" s="269"/>
    </row>
    <row r="368" spans="2:15" ht="9.75" customHeight="1" x14ac:dyDescent="0.2">
      <c r="B368" s="269"/>
      <c r="C368" s="269"/>
      <c r="E368" s="269"/>
      <c r="H368" s="269"/>
      <c r="J368" s="269"/>
      <c r="K368" s="269"/>
      <c r="L368" s="269"/>
      <c r="M368" s="269"/>
      <c r="N368" s="269"/>
      <c r="O368" s="269"/>
    </row>
    <row r="369" spans="2:15" ht="9.75" customHeight="1" x14ac:dyDescent="0.2">
      <c r="B369" s="269"/>
      <c r="C369" s="269"/>
      <c r="E369" s="269"/>
      <c r="H369" s="269"/>
      <c r="J369" s="269"/>
      <c r="K369" s="269"/>
      <c r="L369" s="269"/>
      <c r="M369" s="269"/>
      <c r="N369" s="269"/>
      <c r="O369" s="269"/>
    </row>
    <row r="370" spans="2:15" ht="9.75" customHeight="1" x14ac:dyDescent="0.2">
      <c r="B370" s="269"/>
      <c r="C370" s="269"/>
      <c r="E370" s="269"/>
      <c r="H370" s="269"/>
      <c r="J370" s="269"/>
      <c r="K370" s="269"/>
      <c r="L370" s="269"/>
      <c r="M370" s="269"/>
      <c r="N370" s="269"/>
      <c r="O370" s="269"/>
    </row>
    <row r="371" spans="2:15" ht="9.75" customHeight="1" x14ac:dyDescent="0.2">
      <c r="B371" s="269"/>
      <c r="C371" s="269"/>
      <c r="E371" s="269"/>
      <c r="H371" s="269"/>
      <c r="J371" s="269"/>
      <c r="K371" s="269"/>
      <c r="L371" s="269"/>
      <c r="M371" s="269"/>
      <c r="N371" s="269"/>
      <c r="O371" s="269"/>
    </row>
    <row r="372" spans="2:15" ht="9.75" customHeight="1" x14ac:dyDescent="0.2">
      <c r="B372" s="269"/>
      <c r="C372" s="269"/>
      <c r="E372" s="269"/>
      <c r="H372" s="269"/>
      <c r="J372" s="269"/>
      <c r="K372" s="269"/>
      <c r="L372" s="269"/>
      <c r="M372" s="269"/>
      <c r="N372" s="269"/>
      <c r="O372" s="269"/>
    </row>
    <row r="373" spans="2:15" ht="9.75" customHeight="1" x14ac:dyDescent="0.2">
      <c r="B373" s="269"/>
      <c r="C373" s="269"/>
      <c r="E373" s="269"/>
      <c r="H373" s="269"/>
      <c r="J373" s="269"/>
      <c r="K373" s="269"/>
      <c r="L373" s="269"/>
      <c r="M373" s="269"/>
      <c r="N373" s="269"/>
      <c r="O373" s="269"/>
    </row>
    <row r="374" spans="2:15" ht="9.75" customHeight="1" x14ac:dyDescent="0.2">
      <c r="B374" s="269"/>
      <c r="C374" s="269"/>
      <c r="E374" s="269"/>
      <c r="H374" s="269"/>
      <c r="J374" s="269"/>
      <c r="K374" s="269"/>
      <c r="L374" s="269"/>
      <c r="M374" s="269"/>
      <c r="N374" s="269"/>
      <c r="O374" s="269"/>
    </row>
    <row r="375" spans="2:15" ht="9.75" customHeight="1" x14ac:dyDescent="0.2">
      <c r="B375" s="269"/>
      <c r="C375" s="269"/>
      <c r="E375" s="269"/>
      <c r="H375" s="269"/>
      <c r="J375" s="269"/>
      <c r="K375" s="269"/>
      <c r="L375" s="269"/>
      <c r="M375" s="269"/>
      <c r="N375" s="269"/>
      <c r="O375" s="269"/>
    </row>
    <row r="376" spans="2:15" ht="9.75" customHeight="1" x14ac:dyDescent="0.2">
      <c r="B376" s="269"/>
      <c r="C376" s="269"/>
      <c r="E376" s="269"/>
      <c r="H376" s="269"/>
      <c r="J376" s="269"/>
      <c r="K376" s="269"/>
      <c r="L376" s="269"/>
      <c r="M376" s="269"/>
      <c r="N376" s="269"/>
      <c r="O376" s="269"/>
    </row>
    <row r="377" spans="2:15" ht="9.75" customHeight="1" x14ac:dyDescent="0.2">
      <c r="B377" s="269"/>
      <c r="C377" s="269"/>
      <c r="E377" s="269"/>
      <c r="H377" s="269"/>
      <c r="J377" s="269"/>
      <c r="K377" s="269"/>
      <c r="L377" s="269"/>
      <c r="M377" s="269"/>
      <c r="N377" s="269"/>
      <c r="O377" s="269"/>
    </row>
    <row r="378" spans="2:15" ht="9.75" customHeight="1" x14ac:dyDescent="0.2">
      <c r="B378" s="269"/>
      <c r="C378" s="269"/>
      <c r="E378" s="269"/>
      <c r="H378" s="269"/>
      <c r="J378" s="269"/>
      <c r="K378" s="269"/>
      <c r="L378" s="269"/>
      <c r="M378" s="269"/>
      <c r="N378" s="269"/>
      <c r="O378" s="269"/>
    </row>
    <row r="379" spans="2:15" ht="9.75" customHeight="1" x14ac:dyDescent="0.2">
      <c r="B379" s="269"/>
      <c r="C379" s="269"/>
      <c r="E379" s="269"/>
      <c r="H379" s="269"/>
      <c r="J379" s="269"/>
      <c r="K379" s="269"/>
      <c r="L379" s="269"/>
      <c r="M379" s="269"/>
      <c r="N379" s="269"/>
      <c r="O379" s="269"/>
    </row>
    <row r="380" spans="2:15" ht="9.75" customHeight="1" x14ac:dyDescent="0.2">
      <c r="B380" s="269"/>
      <c r="C380" s="269"/>
      <c r="E380" s="269"/>
      <c r="H380" s="269"/>
      <c r="J380" s="269"/>
      <c r="K380" s="269"/>
      <c r="L380" s="269"/>
      <c r="M380" s="269"/>
      <c r="N380" s="269"/>
      <c r="O380" s="269"/>
    </row>
    <row r="381" spans="2:15" ht="9.75" customHeight="1" x14ac:dyDescent="0.2">
      <c r="B381" s="269"/>
      <c r="C381" s="269"/>
      <c r="E381" s="269"/>
      <c r="H381" s="269"/>
      <c r="J381" s="269"/>
      <c r="K381" s="269"/>
      <c r="L381" s="269"/>
      <c r="M381" s="269"/>
      <c r="N381" s="269"/>
      <c r="O381" s="269"/>
    </row>
    <row r="382" spans="2:15" ht="9.75" customHeight="1" x14ac:dyDescent="0.2">
      <c r="B382" s="269"/>
      <c r="C382" s="269"/>
      <c r="E382" s="269"/>
      <c r="H382" s="269"/>
      <c r="J382" s="269"/>
      <c r="K382" s="269"/>
      <c r="L382" s="269"/>
      <c r="M382" s="269"/>
      <c r="N382" s="269"/>
      <c r="O382" s="269"/>
    </row>
    <row r="383" spans="2:15" ht="9.75" customHeight="1" x14ac:dyDescent="0.2">
      <c r="B383" s="269"/>
      <c r="C383" s="269"/>
      <c r="E383" s="269"/>
      <c r="H383" s="269"/>
      <c r="J383" s="269"/>
      <c r="K383" s="269"/>
      <c r="L383" s="269"/>
      <c r="M383" s="269"/>
      <c r="N383" s="269"/>
      <c r="O383" s="269"/>
    </row>
    <row r="384" spans="2:15" ht="9.75" customHeight="1" x14ac:dyDescent="0.2">
      <c r="B384" s="269"/>
      <c r="C384" s="269"/>
      <c r="E384" s="269"/>
      <c r="H384" s="269"/>
      <c r="J384" s="269"/>
      <c r="K384" s="269"/>
      <c r="L384" s="269"/>
      <c r="M384" s="269"/>
      <c r="N384" s="269"/>
      <c r="O384" s="269"/>
    </row>
    <row r="385" spans="2:15" ht="9.75" customHeight="1" x14ac:dyDescent="0.2">
      <c r="B385" s="269"/>
      <c r="C385" s="269"/>
      <c r="E385" s="269"/>
      <c r="H385" s="269"/>
      <c r="J385" s="269"/>
      <c r="K385" s="269"/>
      <c r="L385" s="269"/>
      <c r="M385" s="269"/>
      <c r="N385" s="269"/>
      <c r="O385" s="269"/>
    </row>
    <row r="386" spans="2:15" ht="9.75" customHeight="1" x14ac:dyDescent="0.2">
      <c r="B386" s="269"/>
      <c r="C386" s="269"/>
      <c r="E386" s="269"/>
      <c r="H386" s="269"/>
      <c r="J386" s="269"/>
      <c r="K386" s="269"/>
      <c r="L386" s="269"/>
      <c r="M386" s="269"/>
      <c r="N386" s="269"/>
      <c r="O386" s="269"/>
    </row>
    <row r="387" spans="2:15" ht="9.75" customHeight="1" x14ac:dyDescent="0.2">
      <c r="B387" s="269"/>
      <c r="C387" s="269"/>
      <c r="E387" s="269"/>
      <c r="H387" s="269"/>
      <c r="J387" s="269"/>
      <c r="K387" s="269"/>
      <c r="L387" s="269"/>
      <c r="M387" s="269"/>
      <c r="N387" s="269"/>
      <c r="O387" s="269"/>
    </row>
    <row r="388" spans="2:15" ht="9.75" customHeight="1" x14ac:dyDescent="0.2">
      <c r="B388" s="269"/>
      <c r="C388" s="269"/>
      <c r="E388" s="269"/>
      <c r="H388" s="269"/>
      <c r="J388" s="269"/>
      <c r="K388" s="269"/>
      <c r="L388" s="269"/>
      <c r="M388" s="269"/>
      <c r="N388" s="269"/>
      <c r="O388" s="269"/>
    </row>
    <row r="389" spans="2:15" ht="9.75" customHeight="1" x14ac:dyDescent="0.2">
      <c r="B389" s="269"/>
      <c r="C389" s="269"/>
      <c r="E389" s="269"/>
      <c r="H389" s="269"/>
      <c r="J389" s="269"/>
      <c r="K389" s="269"/>
      <c r="L389" s="269"/>
      <c r="M389" s="269"/>
      <c r="N389" s="269"/>
      <c r="O389" s="269"/>
    </row>
    <row r="390" spans="2:15" ht="9.75" customHeight="1" x14ac:dyDescent="0.2">
      <c r="B390" s="269"/>
      <c r="C390" s="269"/>
      <c r="E390" s="269"/>
      <c r="H390" s="269"/>
      <c r="J390" s="269"/>
      <c r="K390" s="269"/>
      <c r="L390" s="269"/>
      <c r="M390" s="269"/>
      <c r="N390" s="269"/>
      <c r="O390" s="269"/>
    </row>
    <row r="391" spans="2:15" ht="9.75" customHeight="1" x14ac:dyDescent="0.2">
      <c r="B391" s="269"/>
      <c r="C391" s="269"/>
      <c r="E391" s="269"/>
      <c r="H391" s="269"/>
      <c r="J391" s="269"/>
      <c r="K391" s="269"/>
      <c r="L391" s="269"/>
      <c r="M391" s="269"/>
      <c r="N391" s="269"/>
      <c r="O391" s="269"/>
    </row>
    <row r="392" spans="2:15" ht="9.75" customHeight="1" x14ac:dyDescent="0.2">
      <c r="B392" s="269"/>
      <c r="C392" s="269"/>
      <c r="E392" s="269"/>
      <c r="H392" s="269"/>
      <c r="J392" s="269"/>
      <c r="K392" s="269"/>
      <c r="L392" s="269"/>
      <c r="M392" s="269"/>
      <c r="N392" s="269"/>
      <c r="O392" s="269"/>
    </row>
    <row r="393" spans="2:15" ht="9.75" customHeight="1" x14ac:dyDescent="0.2">
      <c r="B393" s="269"/>
      <c r="C393" s="269"/>
      <c r="E393" s="269"/>
      <c r="H393" s="269"/>
      <c r="J393" s="269"/>
      <c r="K393" s="269"/>
      <c r="L393" s="269"/>
      <c r="M393" s="269"/>
      <c r="N393" s="269"/>
      <c r="O393" s="269"/>
    </row>
    <row r="394" spans="2:15" ht="9.75" customHeight="1" x14ac:dyDescent="0.2">
      <c r="B394" s="269"/>
      <c r="C394" s="269"/>
      <c r="E394" s="269"/>
      <c r="H394" s="269"/>
      <c r="J394" s="269"/>
      <c r="K394" s="269"/>
      <c r="L394" s="269"/>
      <c r="M394" s="269"/>
      <c r="N394" s="269"/>
      <c r="O394" s="269"/>
    </row>
    <row r="395" spans="2:15" ht="9.75" customHeight="1" x14ac:dyDescent="0.2">
      <c r="B395" s="269"/>
      <c r="C395" s="269"/>
      <c r="E395" s="269"/>
      <c r="H395" s="269"/>
      <c r="J395" s="269"/>
      <c r="K395" s="269"/>
      <c r="L395" s="269"/>
      <c r="M395" s="269"/>
      <c r="N395" s="269"/>
      <c r="O395" s="269"/>
    </row>
    <row r="396" spans="2:15" ht="9.75" customHeight="1" x14ac:dyDescent="0.2">
      <c r="B396" s="269"/>
      <c r="C396" s="269"/>
      <c r="E396" s="269"/>
      <c r="H396" s="269"/>
      <c r="J396" s="269"/>
      <c r="K396" s="269"/>
      <c r="L396" s="269"/>
      <c r="M396" s="269"/>
      <c r="N396" s="269"/>
      <c r="O396" s="269"/>
    </row>
    <row r="397" spans="2:15" ht="9.75" customHeight="1" x14ac:dyDescent="0.2">
      <c r="B397" s="269"/>
      <c r="C397" s="269"/>
      <c r="E397" s="269"/>
      <c r="H397" s="269"/>
      <c r="J397" s="269"/>
      <c r="K397" s="269"/>
      <c r="L397" s="269"/>
      <c r="M397" s="269"/>
      <c r="N397" s="269"/>
      <c r="O397" s="269"/>
    </row>
    <row r="398" spans="2:15" ht="9.75" customHeight="1" x14ac:dyDescent="0.2">
      <c r="B398" s="269"/>
      <c r="C398" s="269"/>
      <c r="E398" s="269"/>
      <c r="H398" s="269"/>
      <c r="J398" s="269"/>
      <c r="K398" s="269"/>
      <c r="L398" s="269"/>
      <c r="M398" s="269"/>
      <c r="N398" s="269"/>
      <c r="O398" s="269"/>
    </row>
    <row r="399" spans="2:15" ht="9.75" customHeight="1" x14ac:dyDescent="0.2">
      <c r="B399" s="269"/>
      <c r="C399" s="269"/>
      <c r="E399" s="269"/>
      <c r="H399" s="269"/>
      <c r="J399" s="269"/>
      <c r="K399" s="269"/>
      <c r="L399" s="269"/>
      <c r="M399" s="269"/>
      <c r="N399" s="269"/>
      <c r="O399" s="269"/>
    </row>
    <row r="400" spans="2:15" ht="9.75" customHeight="1" x14ac:dyDescent="0.2">
      <c r="B400" s="269"/>
      <c r="C400" s="269"/>
      <c r="E400" s="269"/>
      <c r="H400" s="269"/>
      <c r="J400" s="269"/>
      <c r="K400" s="269"/>
      <c r="L400" s="269"/>
      <c r="M400" s="269"/>
      <c r="N400" s="269"/>
      <c r="O400" s="269"/>
    </row>
    <row r="401" spans="2:15" ht="9.75" customHeight="1" x14ac:dyDescent="0.2">
      <c r="B401" s="269"/>
      <c r="C401" s="269"/>
      <c r="E401" s="269"/>
      <c r="H401" s="269"/>
      <c r="J401" s="269"/>
      <c r="K401" s="269"/>
      <c r="L401" s="269"/>
      <c r="M401" s="269"/>
      <c r="N401" s="269"/>
      <c r="O401" s="269"/>
    </row>
    <row r="402" spans="2:15" ht="9.75" customHeight="1" x14ac:dyDescent="0.2">
      <c r="B402" s="269"/>
      <c r="C402" s="269"/>
      <c r="E402" s="269"/>
      <c r="H402" s="269"/>
      <c r="J402" s="269"/>
      <c r="K402" s="269"/>
      <c r="L402" s="269"/>
      <c r="M402" s="269"/>
      <c r="N402" s="269"/>
      <c r="O402" s="269"/>
    </row>
    <row r="403" spans="2:15" ht="9.75" customHeight="1" x14ac:dyDescent="0.2">
      <c r="B403" s="269"/>
      <c r="C403" s="269"/>
      <c r="E403" s="269"/>
      <c r="H403" s="269"/>
      <c r="J403" s="269"/>
      <c r="K403" s="269"/>
      <c r="L403" s="269"/>
      <c r="M403" s="269"/>
      <c r="N403" s="269"/>
      <c r="O403" s="269"/>
    </row>
    <row r="404" spans="2:15" ht="9.75" customHeight="1" x14ac:dyDescent="0.2">
      <c r="B404" s="269"/>
      <c r="C404" s="269"/>
      <c r="E404" s="269"/>
      <c r="H404" s="269"/>
      <c r="J404" s="269"/>
      <c r="K404" s="269"/>
      <c r="L404" s="269"/>
      <c r="M404" s="269"/>
      <c r="N404" s="269"/>
      <c r="O404" s="269"/>
    </row>
    <row r="405" spans="2:15" ht="9.75" customHeight="1" x14ac:dyDescent="0.2">
      <c r="B405" s="269"/>
      <c r="C405" s="269"/>
      <c r="E405" s="269"/>
      <c r="H405" s="269"/>
      <c r="J405" s="269"/>
      <c r="K405" s="269"/>
      <c r="L405" s="269"/>
      <c r="M405" s="269"/>
      <c r="N405" s="269"/>
      <c r="O405" s="269"/>
    </row>
    <row r="406" spans="2:15" ht="9.75" customHeight="1" x14ac:dyDescent="0.2">
      <c r="B406" s="269"/>
      <c r="C406" s="269"/>
      <c r="E406" s="269"/>
      <c r="H406" s="269"/>
      <c r="J406" s="269"/>
      <c r="K406" s="269"/>
      <c r="L406" s="269"/>
      <c r="M406" s="269"/>
      <c r="N406" s="269"/>
      <c r="O406" s="269"/>
    </row>
    <row r="407" spans="2:15" ht="9.75" customHeight="1" x14ac:dyDescent="0.2">
      <c r="B407" s="269"/>
      <c r="C407" s="269"/>
      <c r="E407" s="269"/>
      <c r="H407" s="269"/>
      <c r="J407" s="269"/>
      <c r="K407" s="269"/>
      <c r="L407" s="269"/>
      <c r="M407" s="269"/>
      <c r="N407" s="269"/>
      <c r="O407" s="269"/>
    </row>
    <row r="408" spans="2:15" ht="9.75" customHeight="1" x14ac:dyDescent="0.2">
      <c r="B408" s="269"/>
      <c r="C408" s="269"/>
      <c r="E408" s="269"/>
      <c r="H408" s="269"/>
      <c r="J408" s="269"/>
      <c r="K408" s="269"/>
      <c r="L408" s="269"/>
      <c r="M408" s="269"/>
      <c r="N408" s="269"/>
      <c r="O408" s="269"/>
    </row>
    <row r="409" spans="2:15" ht="9.75" customHeight="1" x14ac:dyDescent="0.2">
      <c r="B409" s="269"/>
      <c r="C409" s="269"/>
      <c r="E409" s="269"/>
      <c r="H409" s="269"/>
      <c r="J409" s="269"/>
      <c r="K409" s="269"/>
      <c r="L409" s="269"/>
      <c r="M409" s="269"/>
      <c r="N409" s="269"/>
      <c r="O409" s="269"/>
    </row>
    <row r="410" spans="2:15" ht="9.75" customHeight="1" x14ac:dyDescent="0.2">
      <c r="B410" s="269"/>
      <c r="C410" s="269"/>
      <c r="E410" s="269"/>
      <c r="H410" s="269"/>
      <c r="J410" s="269"/>
      <c r="K410" s="269"/>
      <c r="L410" s="269"/>
      <c r="M410" s="269"/>
      <c r="N410" s="269"/>
      <c r="O410" s="269"/>
    </row>
    <row r="411" spans="2:15" ht="9.75" customHeight="1" x14ac:dyDescent="0.2">
      <c r="B411" s="269"/>
      <c r="C411" s="269"/>
      <c r="E411" s="269"/>
      <c r="H411" s="269"/>
      <c r="J411" s="269"/>
      <c r="K411" s="269"/>
      <c r="L411" s="269"/>
      <c r="M411" s="269"/>
      <c r="N411" s="269"/>
      <c r="O411" s="269"/>
    </row>
    <row r="412" spans="2:15" ht="9.75" customHeight="1" x14ac:dyDescent="0.2">
      <c r="B412" s="269"/>
      <c r="C412" s="269"/>
      <c r="E412" s="269"/>
      <c r="H412" s="269"/>
      <c r="J412" s="269"/>
      <c r="K412" s="269"/>
      <c r="L412" s="269"/>
      <c r="M412" s="269"/>
      <c r="N412" s="269"/>
      <c r="O412" s="269"/>
    </row>
    <row r="413" spans="2:15" ht="9.75" customHeight="1" x14ac:dyDescent="0.2">
      <c r="B413" s="269"/>
      <c r="C413" s="269"/>
      <c r="E413" s="269"/>
      <c r="H413" s="269"/>
      <c r="J413" s="269"/>
      <c r="K413" s="269"/>
      <c r="L413" s="269"/>
      <c r="M413" s="269"/>
      <c r="N413" s="269"/>
      <c r="O413" s="269"/>
    </row>
    <row r="414" spans="2:15" ht="9.75" customHeight="1" x14ac:dyDescent="0.2">
      <c r="B414" s="269"/>
      <c r="C414" s="269"/>
      <c r="E414" s="269"/>
      <c r="H414" s="269"/>
      <c r="J414" s="269"/>
      <c r="K414" s="269"/>
      <c r="L414" s="269"/>
      <c r="M414" s="269"/>
      <c r="N414" s="269"/>
      <c r="O414" s="269"/>
    </row>
    <row r="415" spans="2:15" ht="9.75" customHeight="1" x14ac:dyDescent="0.2">
      <c r="B415" s="269"/>
      <c r="C415" s="269"/>
      <c r="E415" s="269"/>
      <c r="H415" s="269"/>
      <c r="J415" s="269"/>
      <c r="K415" s="269"/>
      <c r="L415" s="269"/>
      <c r="M415" s="269"/>
      <c r="N415" s="269"/>
      <c r="O415" s="269"/>
    </row>
    <row r="416" spans="2:15" ht="9.75" customHeight="1" x14ac:dyDescent="0.2">
      <c r="B416" s="269"/>
      <c r="C416" s="269"/>
      <c r="E416" s="269"/>
      <c r="H416" s="269"/>
      <c r="J416" s="269"/>
      <c r="K416" s="269"/>
      <c r="L416" s="269"/>
      <c r="M416" s="269"/>
      <c r="N416" s="269"/>
      <c r="O416" s="269"/>
    </row>
    <row r="417" spans="2:15" ht="9.75" customHeight="1" x14ac:dyDescent="0.2">
      <c r="B417" s="269"/>
      <c r="C417" s="269"/>
      <c r="E417" s="269"/>
      <c r="H417" s="269"/>
      <c r="J417" s="269"/>
      <c r="K417" s="269"/>
      <c r="L417" s="269"/>
      <c r="M417" s="269"/>
      <c r="N417" s="269"/>
      <c r="O417" s="269"/>
    </row>
    <row r="418" spans="2:15" ht="9.75" customHeight="1" x14ac:dyDescent="0.2">
      <c r="B418" s="269"/>
      <c r="C418" s="269"/>
      <c r="E418" s="269"/>
      <c r="H418" s="269"/>
      <c r="J418" s="269"/>
      <c r="K418" s="269"/>
      <c r="L418" s="269"/>
      <c r="M418" s="269"/>
      <c r="N418" s="269"/>
      <c r="O418" s="269"/>
    </row>
    <row r="419" spans="2:15" ht="9.75" customHeight="1" x14ac:dyDescent="0.2">
      <c r="B419" s="269"/>
      <c r="C419" s="269"/>
      <c r="E419" s="269"/>
      <c r="H419" s="269"/>
      <c r="J419" s="269"/>
      <c r="K419" s="269"/>
      <c r="L419" s="269"/>
      <c r="M419" s="269"/>
      <c r="N419" s="269"/>
      <c r="O419" s="269"/>
    </row>
    <row r="420" spans="2:15" ht="9.75" customHeight="1" x14ac:dyDescent="0.2">
      <c r="B420" s="269"/>
      <c r="C420" s="269"/>
      <c r="E420" s="269"/>
      <c r="H420" s="269"/>
      <c r="J420" s="269"/>
      <c r="K420" s="269"/>
      <c r="L420" s="269"/>
      <c r="M420" s="269"/>
      <c r="N420" s="269"/>
      <c r="O420" s="269"/>
    </row>
    <row r="421" spans="2:15" ht="9.75" customHeight="1" x14ac:dyDescent="0.2">
      <c r="B421" s="269"/>
      <c r="C421" s="269"/>
      <c r="E421" s="269"/>
      <c r="H421" s="269"/>
      <c r="J421" s="269"/>
      <c r="K421" s="269"/>
      <c r="L421" s="269"/>
      <c r="M421" s="269"/>
      <c r="N421" s="269"/>
      <c r="O421" s="269"/>
    </row>
    <row r="422" spans="2:15" ht="9.75" customHeight="1" x14ac:dyDescent="0.2">
      <c r="B422" s="269"/>
      <c r="C422" s="269"/>
      <c r="E422" s="269"/>
      <c r="H422" s="269"/>
      <c r="J422" s="269"/>
      <c r="K422" s="269"/>
      <c r="L422" s="269"/>
      <c r="M422" s="269"/>
      <c r="N422" s="269"/>
      <c r="O422" s="269"/>
    </row>
    <row r="423" spans="2:15" ht="9.75" customHeight="1" x14ac:dyDescent="0.2">
      <c r="B423" s="269"/>
      <c r="C423" s="269"/>
      <c r="E423" s="269"/>
      <c r="H423" s="269"/>
      <c r="J423" s="269"/>
      <c r="K423" s="269"/>
      <c r="L423" s="269"/>
      <c r="M423" s="269"/>
      <c r="N423" s="269"/>
      <c r="O423" s="269"/>
    </row>
    <row r="424" spans="2:15" ht="9.75" customHeight="1" x14ac:dyDescent="0.2">
      <c r="B424" s="269"/>
      <c r="C424" s="269"/>
      <c r="E424" s="269"/>
      <c r="H424" s="269"/>
      <c r="J424" s="269"/>
      <c r="K424" s="269"/>
      <c r="L424" s="269"/>
      <c r="M424" s="269"/>
      <c r="N424" s="269"/>
      <c r="O424" s="269"/>
    </row>
    <row r="425" spans="2:15" ht="9.75" customHeight="1" x14ac:dyDescent="0.2">
      <c r="B425" s="269"/>
      <c r="C425" s="269"/>
      <c r="E425" s="269"/>
      <c r="H425" s="269"/>
      <c r="J425" s="269"/>
      <c r="K425" s="269"/>
      <c r="L425" s="269"/>
      <c r="M425" s="269"/>
      <c r="N425" s="269"/>
      <c r="O425" s="269"/>
    </row>
    <row r="426" spans="2:15" ht="9.75" customHeight="1" x14ac:dyDescent="0.2">
      <c r="B426" s="269"/>
      <c r="C426" s="269"/>
      <c r="E426" s="269"/>
      <c r="H426" s="269"/>
      <c r="J426" s="269"/>
      <c r="K426" s="269"/>
      <c r="L426" s="269"/>
      <c r="M426" s="269"/>
      <c r="N426" s="269"/>
      <c r="O426" s="269"/>
    </row>
    <row r="427" spans="2:15" ht="9.75" customHeight="1" x14ac:dyDescent="0.2">
      <c r="B427" s="269"/>
      <c r="C427" s="269"/>
      <c r="E427" s="269"/>
      <c r="H427" s="269"/>
      <c r="J427" s="269"/>
      <c r="K427" s="269"/>
      <c r="L427" s="269"/>
      <c r="M427" s="269"/>
      <c r="N427" s="269"/>
      <c r="O427" s="269"/>
    </row>
    <row r="428" spans="2:15" ht="9.75" customHeight="1" x14ac:dyDescent="0.2">
      <c r="B428" s="269"/>
      <c r="C428" s="269"/>
      <c r="E428" s="269"/>
      <c r="H428" s="269"/>
      <c r="J428" s="269"/>
      <c r="K428" s="269"/>
      <c r="L428" s="269"/>
      <c r="M428" s="269"/>
      <c r="N428" s="269"/>
      <c r="O428" s="269"/>
    </row>
    <row r="429" spans="2:15" ht="9.75" customHeight="1" x14ac:dyDescent="0.2">
      <c r="B429" s="269"/>
      <c r="C429" s="269"/>
      <c r="E429" s="269"/>
      <c r="H429" s="269"/>
      <c r="J429" s="269"/>
      <c r="K429" s="269"/>
      <c r="L429" s="269"/>
      <c r="M429" s="269"/>
      <c r="N429" s="269"/>
      <c r="O429" s="269"/>
    </row>
    <row r="430" spans="2:15" ht="9.75" customHeight="1" x14ac:dyDescent="0.2">
      <c r="B430" s="269"/>
      <c r="C430" s="269"/>
      <c r="E430" s="269"/>
      <c r="H430" s="269"/>
      <c r="J430" s="269"/>
      <c r="K430" s="269"/>
      <c r="L430" s="269"/>
      <c r="M430" s="269"/>
      <c r="N430" s="269"/>
      <c r="O430" s="269"/>
    </row>
    <row r="431" spans="2:15" ht="9.75" customHeight="1" x14ac:dyDescent="0.2">
      <c r="B431" s="269"/>
      <c r="C431" s="269"/>
      <c r="E431" s="269"/>
      <c r="H431" s="269"/>
      <c r="J431" s="269"/>
      <c r="K431" s="269"/>
      <c r="L431" s="269"/>
      <c r="M431" s="269"/>
      <c r="N431" s="269"/>
      <c r="O431" s="269"/>
    </row>
    <row r="432" spans="2:15" ht="9.75" customHeight="1" x14ac:dyDescent="0.2">
      <c r="B432" s="269"/>
      <c r="C432" s="269"/>
      <c r="E432" s="269"/>
      <c r="H432" s="269"/>
      <c r="J432" s="269"/>
      <c r="K432" s="269"/>
      <c r="L432" s="269"/>
      <c r="M432" s="269"/>
      <c r="N432" s="269"/>
      <c r="O432" s="269"/>
    </row>
    <row r="433" spans="2:15" ht="9.75" customHeight="1" x14ac:dyDescent="0.2">
      <c r="B433" s="269"/>
      <c r="C433" s="269"/>
      <c r="E433" s="269"/>
      <c r="H433" s="269"/>
      <c r="J433" s="269"/>
      <c r="K433" s="269"/>
      <c r="L433" s="269"/>
      <c r="M433" s="269"/>
      <c r="N433" s="269"/>
      <c r="O433" s="269"/>
    </row>
    <row r="434" spans="2:15" ht="9.75" customHeight="1" x14ac:dyDescent="0.2">
      <c r="B434" s="269"/>
      <c r="C434" s="269"/>
      <c r="E434" s="269"/>
      <c r="H434" s="269"/>
      <c r="J434" s="269"/>
      <c r="K434" s="269"/>
      <c r="L434" s="269"/>
      <c r="M434" s="269"/>
      <c r="N434" s="269"/>
      <c r="O434" s="269"/>
    </row>
    <row r="435" spans="2:15" ht="9.75" customHeight="1" x14ac:dyDescent="0.2">
      <c r="B435" s="269"/>
      <c r="C435" s="269"/>
      <c r="E435" s="269"/>
      <c r="H435" s="269"/>
      <c r="J435" s="269"/>
      <c r="K435" s="269"/>
      <c r="L435" s="269"/>
      <c r="M435" s="269"/>
      <c r="N435" s="269"/>
      <c r="O435" s="269"/>
    </row>
    <row r="436" spans="2:15" ht="9.75" customHeight="1" x14ac:dyDescent="0.2">
      <c r="B436" s="269"/>
      <c r="C436" s="269"/>
      <c r="E436" s="269"/>
      <c r="H436" s="269"/>
      <c r="J436" s="269"/>
      <c r="K436" s="269"/>
      <c r="L436" s="269"/>
      <c r="M436" s="269"/>
      <c r="N436" s="269"/>
      <c r="O436" s="269"/>
    </row>
    <row r="437" spans="2:15" ht="9.75" customHeight="1" x14ac:dyDescent="0.2">
      <c r="B437" s="269"/>
      <c r="C437" s="269"/>
      <c r="E437" s="269"/>
      <c r="H437" s="269"/>
      <c r="J437" s="269"/>
      <c r="K437" s="269"/>
      <c r="L437" s="269"/>
      <c r="M437" s="269"/>
      <c r="N437" s="269"/>
      <c r="O437" s="269"/>
    </row>
    <row r="438" spans="2:15" ht="9.75" customHeight="1" x14ac:dyDescent="0.2">
      <c r="B438" s="269"/>
      <c r="C438" s="269"/>
      <c r="E438" s="269"/>
      <c r="H438" s="269"/>
      <c r="J438" s="269"/>
      <c r="K438" s="269"/>
      <c r="L438" s="269"/>
      <c r="M438" s="269"/>
      <c r="N438" s="269"/>
      <c r="O438" s="269"/>
    </row>
    <row r="439" spans="2:15" ht="9.75" customHeight="1" x14ac:dyDescent="0.2">
      <c r="B439" s="269"/>
      <c r="C439" s="269"/>
      <c r="E439" s="269"/>
      <c r="H439" s="269"/>
      <c r="J439" s="269"/>
      <c r="K439" s="269"/>
      <c r="L439" s="269"/>
      <c r="M439" s="269"/>
      <c r="N439" s="269"/>
      <c r="O439" s="269"/>
    </row>
    <row r="440" spans="2:15" ht="9.75" customHeight="1" x14ac:dyDescent="0.2">
      <c r="B440" s="269"/>
      <c r="C440" s="269"/>
      <c r="E440" s="269"/>
      <c r="H440" s="269"/>
      <c r="J440" s="269"/>
      <c r="K440" s="269"/>
      <c r="L440" s="269"/>
      <c r="M440" s="269"/>
      <c r="N440" s="269"/>
      <c r="O440" s="269"/>
    </row>
    <row r="441" spans="2:15" ht="9.75" customHeight="1" x14ac:dyDescent="0.2">
      <c r="B441" s="269"/>
      <c r="C441" s="269"/>
      <c r="E441" s="269"/>
      <c r="H441" s="269"/>
      <c r="J441" s="269"/>
      <c r="K441" s="269"/>
      <c r="L441" s="269"/>
      <c r="M441" s="269"/>
      <c r="N441" s="269"/>
      <c r="O441" s="269"/>
    </row>
    <row r="442" spans="2:15" ht="9.75" customHeight="1" x14ac:dyDescent="0.2">
      <c r="B442" s="269"/>
      <c r="C442" s="269"/>
      <c r="E442" s="269"/>
      <c r="H442" s="269"/>
      <c r="J442" s="269"/>
      <c r="K442" s="269"/>
      <c r="L442" s="269"/>
      <c r="M442" s="269"/>
      <c r="N442" s="269"/>
      <c r="O442" s="269"/>
    </row>
    <row r="443" spans="2:15" ht="9.75" customHeight="1" x14ac:dyDescent="0.2">
      <c r="B443" s="269"/>
      <c r="C443" s="269"/>
      <c r="E443" s="269"/>
      <c r="H443" s="269"/>
      <c r="J443" s="269"/>
      <c r="K443" s="269"/>
      <c r="L443" s="269"/>
      <c r="M443" s="269"/>
      <c r="N443" s="269"/>
      <c r="O443" s="269"/>
    </row>
    <row r="444" spans="2:15" ht="9.75" customHeight="1" x14ac:dyDescent="0.2">
      <c r="B444" s="269"/>
      <c r="C444" s="269"/>
      <c r="E444" s="269"/>
      <c r="H444" s="269"/>
      <c r="J444" s="269"/>
      <c r="K444" s="269"/>
      <c r="L444" s="269"/>
      <c r="M444" s="269"/>
      <c r="N444" s="269"/>
      <c r="O444" s="269"/>
    </row>
    <row r="445" spans="2:15" ht="9.75" customHeight="1" x14ac:dyDescent="0.2">
      <c r="B445" s="269"/>
      <c r="C445" s="269"/>
      <c r="E445" s="269"/>
      <c r="H445" s="269"/>
      <c r="J445" s="269"/>
      <c r="K445" s="269"/>
      <c r="L445" s="269"/>
      <c r="M445" s="269"/>
      <c r="N445" s="269"/>
      <c r="O445" s="269"/>
    </row>
    <row r="446" spans="2:15" ht="9.75" customHeight="1" x14ac:dyDescent="0.2">
      <c r="B446" s="269"/>
      <c r="C446" s="269"/>
      <c r="E446" s="269"/>
      <c r="H446" s="269"/>
      <c r="J446" s="269"/>
      <c r="K446" s="269"/>
      <c r="L446" s="269"/>
      <c r="M446" s="269"/>
      <c r="N446" s="269"/>
      <c r="O446" s="269"/>
    </row>
    <row r="447" spans="2:15" ht="9.75" customHeight="1" x14ac:dyDescent="0.2">
      <c r="B447" s="269"/>
      <c r="C447" s="269"/>
      <c r="E447" s="269"/>
      <c r="H447" s="269"/>
      <c r="J447" s="269"/>
      <c r="K447" s="269"/>
      <c r="L447" s="269"/>
      <c r="M447" s="269"/>
      <c r="N447" s="269"/>
      <c r="O447" s="269"/>
    </row>
    <row r="448" spans="2:15" ht="9.75" customHeight="1" x14ac:dyDescent="0.2">
      <c r="B448" s="269"/>
      <c r="C448" s="269"/>
      <c r="E448" s="269"/>
      <c r="H448" s="269"/>
      <c r="J448" s="269"/>
      <c r="K448" s="269"/>
      <c r="L448" s="269"/>
      <c r="M448" s="269"/>
      <c r="N448" s="269"/>
      <c r="O448" s="269"/>
    </row>
    <row r="449" spans="2:15" ht="9.75" customHeight="1" x14ac:dyDescent="0.2">
      <c r="B449" s="269"/>
      <c r="C449" s="269"/>
      <c r="E449" s="269"/>
      <c r="H449" s="269"/>
      <c r="J449" s="269"/>
      <c r="K449" s="269"/>
      <c r="L449" s="269"/>
      <c r="M449" s="269"/>
      <c r="N449" s="269"/>
      <c r="O449" s="269"/>
    </row>
    <row r="450" spans="2:15" ht="9.75" customHeight="1" x14ac:dyDescent="0.2">
      <c r="B450" s="269"/>
      <c r="C450" s="269"/>
      <c r="E450" s="269"/>
      <c r="H450" s="269"/>
      <c r="J450" s="269"/>
      <c r="K450" s="269"/>
      <c r="L450" s="269"/>
      <c r="M450" s="269"/>
      <c r="N450" s="269"/>
      <c r="O450" s="269"/>
    </row>
    <row r="451" spans="2:15" ht="9.75" customHeight="1" x14ac:dyDescent="0.2">
      <c r="B451" s="269"/>
      <c r="C451" s="269"/>
      <c r="E451" s="269"/>
      <c r="H451" s="269"/>
      <c r="J451" s="269"/>
      <c r="K451" s="269"/>
      <c r="L451" s="269"/>
      <c r="M451" s="269"/>
      <c r="N451" s="269"/>
      <c r="O451" s="269"/>
    </row>
    <row r="452" spans="2:15" ht="9.75" customHeight="1" x14ac:dyDescent="0.2">
      <c r="B452" s="269"/>
      <c r="C452" s="269"/>
      <c r="E452" s="269"/>
      <c r="H452" s="269"/>
      <c r="J452" s="269"/>
      <c r="K452" s="269"/>
      <c r="L452" s="269"/>
      <c r="M452" s="269"/>
      <c r="N452" s="269"/>
      <c r="O452" s="269"/>
    </row>
    <row r="453" spans="2:15" ht="9.75" customHeight="1" x14ac:dyDescent="0.2">
      <c r="B453" s="269"/>
      <c r="C453" s="269"/>
      <c r="E453" s="269"/>
      <c r="H453" s="269"/>
      <c r="J453" s="269"/>
      <c r="K453" s="269"/>
      <c r="L453" s="269"/>
      <c r="M453" s="269"/>
      <c r="N453" s="269"/>
      <c r="O453" s="269"/>
    </row>
    <row r="454" spans="2:15" ht="9.75" customHeight="1" x14ac:dyDescent="0.2">
      <c r="B454" s="269"/>
      <c r="C454" s="269"/>
      <c r="E454" s="269"/>
      <c r="H454" s="269"/>
      <c r="J454" s="269"/>
      <c r="K454" s="269"/>
      <c r="L454" s="269"/>
      <c r="M454" s="269"/>
      <c r="N454" s="269"/>
      <c r="O454" s="269"/>
    </row>
    <row r="455" spans="2:15" ht="9.75" customHeight="1" x14ac:dyDescent="0.2">
      <c r="B455" s="269"/>
      <c r="C455" s="269"/>
      <c r="E455" s="269"/>
      <c r="H455" s="269"/>
      <c r="J455" s="269"/>
      <c r="K455" s="269"/>
      <c r="L455" s="269"/>
      <c r="M455" s="269"/>
      <c r="N455" s="269"/>
      <c r="O455" s="269"/>
    </row>
    <row r="456" spans="2:15" ht="9.75" customHeight="1" x14ac:dyDescent="0.2">
      <c r="B456" s="269"/>
      <c r="C456" s="269"/>
      <c r="E456" s="269"/>
      <c r="H456" s="269"/>
      <c r="J456" s="269"/>
      <c r="K456" s="269"/>
      <c r="L456" s="269"/>
      <c r="M456" s="269"/>
      <c r="N456" s="269"/>
      <c r="O456" s="269"/>
    </row>
    <row r="457" spans="2:15" ht="9.75" customHeight="1" x14ac:dyDescent="0.2">
      <c r="B457" s="269"/>
      <c r="C457" s="269"/>
      <c r="E457" s="269"/>
      <c r="H457" s="269"/>
      <c r="J457" s="269"/>
      <c r="K457" s="269"/>
      <c r="L457" s="269"/>
      <c r="M457" s="269"/>
      <c r="N457" s="269"/>
      <c r="O457" s="269"/>
    </row>
    <row r="458" spans="2:15" ht="9.75" customHeight="1" x14ac:dyDescent="0.2">
      <c r="B458" s="269"/>
      <c r="C458" s="269"/>
      <c r="E458" s="269"/>
      <c r="H458" s="269"/>
      <c r="J458" s="269"/>
      <c r="K458" s="269"/>
      <c r="L458" s="269"/>
      <c r="M458" s="269"/>
      <c r="N458" s="269"/>
      <c r="O458" s="269"/>
    </row>
    <row r="459" spans="2:15" ht="9.75" customHeight="1" x14ac:dyDescent="0.2">
      <c r="B459" s="269"/>
      <c r="C459" s="269"/>
      <c r="E459" s="269"/>
      <c r="H459" s="269"/>
      <c r="J459" s="269"/>
      <c r="K459" s="269"/>
      <c r="L459" s="269"/>
      <c r="M459" s="269"/>
      <c r="N459" s="269"/>
      <c r="O459" s="269"/>
    </row>
    <row r="460" spans="2:15" ht="9.75" customHeight="1" x14ac:dyDescent="0.2">
      <c r="B460" s="269"/>
      <c r="C460" s="269"/>
      <c r="E460" s="269"/>
      <c r="H460" s="269"/>
      <c r="J460" s="269"/>
      <c r="K460" s="269"/>
      <c r="L460" s="269"/>
      <c r="M460" s="269"/>
      <c r="N460" s="269"/>
      <c r="O460" s="269"/>
    </row>
    <row r="461" spans="2:15" ht="9.75" customHeight="1" x14ac:dyDescent="0.2">
      <c r="B461" s="269"/>
      <c r="C461" s="269"/>
      <c r="E461" s="269"/>
      <c r="H461" s="269"/>
      <c r="J461" s="269"/>
      <c r="K461" s="269"/>
      <c r="L461" s="269"/>
      <c r="M461" s="269"/>
      <c r="N461" s="269"/>
      <c r="O461" s="269"/>
    </row>
    <row r="462" spans="2:15" ht="9.75" customHeight="1" x14ac:dyDescent="0.2">
      <c r="B462" s="269"/>
      <c r="C462" s="269"/>
      <c r="E462" s="269"/>
      <c r="H462" s="269"/>
      <c r="J462" s="269"/>
      <c r="K462" s="269"/>
      <c r="L462" s="269"/>
      <c r="M462" s="269"/>
      <c r="N462" s="269"/>
      <c r="O462" s="269"/>
    </row>
    <row r="463" spans="2:15" ht="9.75" customHeight="1" x14ac:dyDescent="0.2">
      <c r="B463" s="269"/>
      <c r="C463" s="269"/>
      <c r="E463" s="269"/>
      <c r="H463" s="269"/>
      <c r="J463" s="269"/>
      <c r="K463" s="269"/>
      <c r="L463" s="269"/>
      <c r="M463" s="269"/>
      <c r="N463" s="269"/>
      <c r="O463" s="269"/>
    </row>
    <row r="464" spans="2:15" ht="9.75" customHeight="1" x14ac:dyDescent="0.2">
      <c r="B464" s="269"/>
      <c r="C464" s="269"/>
      <c r="E464" s="269"/>
      <c r="H464" s="269"/>
      <c r="J464" s="269"/>
      <c r="K464" s="269"/>
      <c r="L464" s="269"/>
      <c r="M464" s="269"/>
      <c r="N464" s="269"/>
      <c r="O464" s="269"/>
    </row>
    <row r="465" spans="2:15" ht="9.75" customHeight="1" x14ac:dyDescent="0.2">
      <c r="B465" s="269"/>
      <c r="C465" s="269"/>
      <c r="E465" s="269"/>
      <c r="H465" s="269"/>
      <c r="J465" s="269"/>
      <c r="K465" s="269"/>
      <c r="L465" s="269"/>
      <c r="M465" s="269"/>
      <c r="N465" s="269"/>
      <c r="O465" s="269"/>
    </row>
    <row r="466" spans="2:15" ht="9.75" customHeight="1" x14ac:dyDescent="0.2">
      <c r="B466" s="269"/>
      <c r="C466" s="269"/>
      <c r="E466" s="269"/>
      <c r="H466" s="269"/>
      <c r="J466" s="269"/>
      <c r="K466" s="269"/>
      <c r="L466" s="269"/>
      <c r="M466" s="269"/>
      <c r="N466" s="269"/>
      <c r="O466" s="269"/>
    </row>
    <row r="467" spans="2:15" ht="9.75" customHeight="1" x14ac:dyDescent="0.2">
      <c r="B467" s="269"/>
      <c r="C467" s="269"/>
      <c r="E467" s="269"/>
      <c r="H467" s="269"/>
      <c r="J467" s="269"/>
      <c r="K467" s="269"/>
      <c r="L467" s="269"/>
      <c r="M467" s="269"/>
      <c r="N467" s="269"/>
      <c r="O467" s="269"/>
    </row>
    <row r="468" spans="2:15" ht="9.75" customHeight="1" x14ac:dyDescent="0.2">
      <c r="B468" s="269"/>
      <c r="C468" s="269"/>
      <c r="E468" s="269"/>
      <c r="H468" s="269"/>
      <c r="J468" s="269"/>
      <c r="K468" s="269"/>
      <c r="L468" s="269"/>
      <c r="M468" s="269"/>
      <c r="N468" s="269"/>
      <c r="O468" s="269"/>
    </row>
    <row r="469" spans="2:15" ht="9.75" customHeight="1" x14ac:dyDescent="0.2">
      <c r="B469" s="269"/>
      <c r="C469" s="269"/>
      <c r="E469" s="269"/>
      <c r="H469" s="269"/>
      <c r="J469" s="269"/>
      <c r="K469" s="269"/>
      <c r="L469" s="269"/>
      <c r="M469" s="269"/>
      <c r="N469" s="269"/>
      <c r="O469" s="269"/>
    </row>
    <row r="470" spans="2:15" ht="9.75" customHeight="1" x14ac:dyDescent="0.2">
      <c r="B470" s="269"/>
      <c r="C470" s="269"/>
      <c r="E470" s="269"/>
      <c r="H470" s="269"/>
      <c r="J470" s="269"/>
      <c r="K470" s="269"/>
      <c r="L470" s="269"/>
      <c r="M470" s="269"/>
      <c r="N470" s="269"/>
      <c r="O470" s="269"/>
    </row>
    <row r="471" spans="2:15" ht="9.75" customHeight="1" x14ac:dyDescent="0.2">
      <c r="B471" s="269"/>
      <c r="C471" s="269"/>
      <c r="E471" s="269"/>
      <c r="H471" s="269"/>
      <c r="J471" s="269"/>
      <c r="K471" s="269"/>
      <c r="L471" s="269"/>
      <c r="M471" s="269"/>
      <c r="N471" s="269"/>
      <c r="O471" s="269"/>
    </row>
    <row r="472" spans="2:15" ht="9.75" customHeight="1" x14ac:dyDescent="0.2">
      <c r="B472" s="269"/>
      <c r="C472" s="269"/>
      <c r="E472" s="269"/>
      <c r="H472" s="269"/>
      <c r="J472" s="269"/>
      <c r="K472" s="269"/>
      <c r="L472" s="269"/>
      <c r="M472" s="269"/>
      <c r="N472" s="269"/>
      <c r="O472" s="269"/>
    </row>
    <row r="473" spans="2:15" ht="9.75" customHeight="1" x14ac:dyDescent="0.2">
      <c r="B473" s="269"/>
      <c r="C473" s="269"/>
      <c r="E473" s="269"/>
      <c r="H473" s="269"/>
      <c r="J473" s="269"/>
      <c r="K473" s="269"/>
      <c r="L473" s="269"/>
      <c r="M473" s="269"/>
      <c r="N473" s="269"/>
      <c r="O473" s="269"/>
    </row>
    <row r="474" spans="2:15" ht="9.75" customHeight="1" x14ac:dyDescent="0.2">
      <c r="B474" s="269"/>
      <c r="C474" s="269"/>
      <c r="E474" s="269"/>
      <c r="H474" s="269"/>
      <c r="J474" s="269"/>
      <c r="K474" s="269"/>
      <c r="L474" s="269"/>
      <c r="M474" s="269"/>
      <c r="N474" s="269"/>
      <c r="O474" s="269"/>
    </row>
    <row r="475" spans="2:15" ht="9.75" customHeight="1" x14ac:dyDescent="0.2">
      <c r="B475" s="269"/>
      <c r="C475" s="269"/>
      <c r="E475" s="269"/>
      <c r="H475" s="269"/>
      <c r="J475" s="269"/>
      <c r="K475" s="269"/>
      <c r="L475" s="269"/>
      <c r="M475" s="269"/>
      <c r="N475" s="269"/>
      <c r="O475" s="269"/>
    </row>
    <row r="476" spans="2:15" ht="9.75" customHeight="1" x14ac:dyDescent="0.2">
      <c r="B476" s="269"/>
      <c r="C476" s="269"/>
      <c r="E476" s="269"/>
      <c r="H476" s="269"/>
      <c r="J476" s="269"/>
      <c r="K476" s="269"/>
      <c r="L476" s="269"/>
      <c r="M476" s="269"/>
      <c r="N476" s="269"/>
      <c r="O476" s="269"/>
    </row>
    <row r="477" spans="2:15" ht="9.75" customHeight="1" x14ac:dyDescent="0.2">
      <c r="B477" s="269"/>
      <c r="C477" s="269"/>
      <c r="E477" s="269"/>
      <c r="H477" s="269"/>
      <c r="J477" s="269"/>
      <c r="K477" s="269"/>
      <c r="L477" s="269"/>
      <c r="M477" s="269"/>
      <c r="N477" s="269"/>
      <c r="O477" s="269"/>
    </row>
    <row r="478" spans="2:15" ht="9.75" customHeight="1" x14ac:dyDescent="0.2">
      <c r="B478" s="269"/>
      <c r="C478" s="269"/>
      <c r="E478" s="269"/>
      <c r="H478" s="269"/>
      <c r="J478" s="269"/>
      <c r="K478" s="269"/>
      <c r="L478" s="269"/>
      <c r="M478" s="269"/>
      <c r="N478" s="269"/>
      <c r="O478" s="269"/>
    </row>
    <row r="479" spans="2:15" ht="9.75" customHeight="1" x14ac:dyDescent="0.2">
      <c r="B479" s="269"/>
      <c r="C479" s="269"/>
      <c r="E479" s="269"/>
      <c r="H479" s="269"/>
      <c r="J479" s="269"/>
      <c r="K479" s="269"/>
      <c r="L479" s="269"/>
      <c r="M479" s="269"/>
      <c r="N479" s="269"/>
      <c r="O479" s="269"/>
    </row>
    <row r="480" spans="2:15" ht="9.75" customHeight="1" x14ac:dyDescent="0.2">
      <c r="B480" s="269"/>
      <c r="C480" s="269"/>
      <c r="E480" s="269"/>
      <c r="H480" s="269"/>
      <c r="J480" s="269"/>
      <c r="K480" s="269"/>
      <c r="L480" s="269"/>
      <c r="M480" s="269"/>
      <c r="N480" s="269"/>
      <c r="O480" s="269"/>
    </row>
    <row r="481" spans="2:15" ht="9.75" customHeight="1" x14ac:dyDescent="0.2">
      <c r="B481" s="269"/>
      <c r="C481" s="269"/>
      <c r="E481" s="269"/>
      <c r="H481" s="269"/>
      <c r="J481" s="269"/>
      <c r="K481" s="269"/>
      <c r="L481" s="269"/>
      <c r="M481" s="269"/>
      <c r="N481" s="269"/>
      <c r="O481" s="269"/>
    </row>
    <row r="482" spans="2:15" ht="9.75" customHeight="1" x14ac:dyDescent="0.2">
      <c r="B482" s="269"/>
      <c r="C482" s="269"/>
      <c r="E482" s="269"/>
      <c r="H482" s="269"/>
      <c r="J482" s="269"/>
      <c r="K482" s="269"/>
      <c r="L482" s="269"/>
      <c r="M482" s="269"/>
      <c r="N482" s="269"/>
      <c r="O482" s="269"/>
    </row>
    <row r="483" spans="2:15" ht="9.75" customHeight="1" x14ac:dyDescent="0.2">
      <c r="B483" s="269"/>
      <c r="C483" s="269"/>
      <c r="E483" s="269"/>
      <c r="H483" s="269"/>
      <c r="J483" s="269"/>
      <c r="K483" s="269"/>
      <c r="L483" s="269"/>
      <c r="M483" s="269"/>
      <c r="N483" s="269"/>
      <c r="O483" s="269"/>
    </row>
    <row r="484" spans="2:15" ht="9.75" customHeight="1" x14ac:dyDescent="0.2">
      <c r="B484" s="269"/>
      <c r="C484" s="269"/>
      <c r="E484" s="269"/>
      <c r="H484" s="269"/>
      <c r="J484" s="269"/>
      <c r="K484" s="269"/>
      <c r="L484" s="269"/>
      <c r="M484" s="269"/>
      <c r="N484" s="269"/>
      <c r="O484" s="269"/>
    </row>
    <row r="485" spans="2:15" ht="9.75" customHeight="1" x14ac:dyDescent="0.2">
      <c r="B485" s="269"/>
      <c r="C485" s="269"/>
      <c r="E485" s="269"/>
      <c r="H485" s="269"/>
      <c r="J485" s="269"/>
      <c r="K485" s="269"/>
      <c r="L485" s="269"/>
      <c r="M485" s="269"/>
      <c r="N485" s="269"/>
      <c r="O485" s="269"/>
    </row>
    <row r="486" spans="2:15" ht="9.75" customHeight="1" x14ac:dyDescent="0.2">
      <c r="B486" s="269"/>
      <c r="C486" s="269"/>
      <c r="E486" s="269"/>
      <c r="H486" s="269"/>
      <c r="J486" s="269"/>
      <c r="K486" s="269"/>
      <c r="L486" s="269"/>
      <c r="M486" s="269"/>
      <c r="N486" s="269"/>
      <c r="O486" s="269"/>
    </row>
    <row r="487" spans="2:15" ht="9.75" customHeight="1" x14ac:dyDescent="0.2">
      <c r="B487" s="269"/>
      <c r="C487" s="269"/>
      <c r="E487" s="269"/>
      <c r="H487" s="269"/>
      <c r="J487" s="269"/>
      <c r="K487" s="269"/>
      <c r="L487" s="269"/>
      <c r="M487" s="269"/>
      <c r="N487" s="269"/>
      <c r="O487" s="269"/>
    </row>
    <row r="488" spans="2:15" ht="9.75" customHeight="1" x14ac:dyDescent="0.2">
      <c r="B488" s="269"/>
      <c r="C488" s="269"/>
      <c r="E488" s="269"/>
      <c r="H488" s="269"/>
      <c r="J488" s="269"/>
      <c r="K488" s="269"/>
      <c r="L488" s="269"/>
      <c r="M488" s="269"/>
      <c r="N488" s="269"/>
      <c r="O488" s="269"/>
    </row>
    <row r="489" spans="2:15" ht="9.75" customHeight="1" x14ac:dyDescent="0.2">
      <c r="B489" s="269"/>
      <c r="C489" s="269"/>
      <c r="E489" s="269"/>
      <c r="H489" s="269"/>
      <c r="J489" s="269"/>
      <c r="K489" s="269"/>
      <c r="L489" s="269"/>
      <c r="M489" s="269"/>
      <c r="N489" s="269"/>
      <c r="O489" s="269"/>
    </row>
    <row r="490" spans="2:15" ht="9.75" customHeight="1" x14ac:dyDescent="0.2">
      <c r="B490" s="269"/>
      <c r="C490" s="269"/>
      <c r="E490" s="269"/>
      <c r="H490" s="269"/>
      <c r="J490" s="269"/>
      <c r="K490" s="269"/>
      <c r="L490" s="269"/>
      <c r="M490" s="269"/>
      <c r="N490" s="269"/>
      <c r="O490" s="269"/>
    </row>
    <row r="491" spans="2:15" ht="9.75" customHeight="1" x14ac:dyDescent="0.2">
      <c r="B491" s="269"/>
      <c r="C491" s="269"/>
      <c r="E491" s="269"/>
      <c r="H491" s="269"/>
      <c r="J491" s="269"/>
      <c r="K491" s="269"/>
      <c r="L491" s="269"/>
      <c r="M491" s="269"/>
      <c r="N491" s="269"/>
      <c r="O491" s="269"/>
    </row>
    <row r="492" spans="2:15" ht="9.75" customHeight="1" x14ac:dyDescent="0.2">
      <c r="B492" s="269"/>
      <c r="C492" s="269"/>
      <c r="E492" s="269"/>
      <c r="H492" s="269"/>
      <c r="J492" s="269"/>
      <c r="K492" s="269"/>
      <c r="L492" s="269"/>
      <c r="M492" s="269"/>
      <c r="N492" s="269"/>
      <c r="O492" s="269"/>
    </row>
    <row r="493" spans="2:15" ht="9.75" customHeight="1" x14ac:dyDescent="0.2">
      <c r="B493" s="269"/>
      <c r="C493" s="269"/>
      <c r="E493" s="269"/>
      <c r="H493" s="269"/>
      <c r="J493" s="269"/>
      <c r="K493" s="269"/>
      <c r="L493" s="269"/>
      <c r="M493" s="269"/>
      <c r="N493" s="269"/>
      <c r="O493" s="269"/>
    </row>
    <row r="494" spans="2:15" ht="9.75" customHeight="1" x14ac:dyDescent="0.2">
      <c r="B494" s="269"/>
      <c r="C494" s="269"/>
      <c r="E494" s="269"/>
      <c r="H494" s="269"/>
      <c r="J494" s="269"/>
      <c r="K494" s="269"/>
      <c r="L494" s="269"/>
      <c r="M494" s="269"/>
      <c r="N494" s="269"/>
      <c r="O494" s="269"/>
    </row>
    <row r="495" spans="2:15" ht="9.75" customHeight="1" x14ac:dyDescent="0.2">
      <c r="B495" s="269"/>
      <c r="C495" s="269"/>
      <c r="E495" s="269"/>
      <c r="H495" s="269"/>
      <c r="J495" s="269"/>
      <c r="K495" s="269"/>
      <c r="L495" s="269"/>
      <c r="M495" s="269"/>
      <c r="N495" s="269"/>
      <c r="O495" s="269"/>
    </row>
    <row r="496" spans="2:15" ht="9.75" customHeight="1" x14ac:dyDescent="0.2">
      <c r="B496" s="269"/>
      <c r="C496" s="269"/>
      <c r="E496" s="269"/>
      <c r="H496" s="269"/>
      <c r="J496" s="269"/>
      <c r="K496" s="269"/>
      <c r="L496" s="269"/>
      <c r="M496" s="269"/>
      <c r="N496" s="269"/>
      <c r="O496" s="269"/>
    </row>
    <row r="497" spans="2:15" ht="9.75" customHeight="1" x14ac:dyDescent="0.2">
      <c r="B497" s="269"/>
      <c r="C497" s="269"/>
      <c r="E497" s="269"/>
      <c r="H497" s="269"/>
      <c r="J497" s="269"/>
      <c r="K497" s="269"/>
      <c r="L497" s="269"/>
      <c r="M497" s="269"/>
      <c r="N497" s="269"/>
      <c r="O497" s="269"/>
    </row>
    <row r="498" spans="2:15" ht="9.75" customHeight="1" x14ac:dyDescent="0.2">
      <c r="B498" s="269"/>
      <c r="C498" s="269"/>
      <c r="E498" s="269"/>
      <c r="H498" s="269"/>
      <c r="J498" s="269"/>
      <c r="K498" s="269"/>
      <c r="L498" s="269"/>
      <c r="M498" s="269"/>
      <c r="N498" s="269"/>
      <c r="O498" s="269"/>
    </row>
    <row r="499" spans="2:15" ht="9.75" customHeight="1" x14ac:dyDescent="0.2">
      <c r="B499" s="269"/>
      <c r="C499" s="269"/>
      <c r="E499" s="269"/>
      <c r="H499" s="269"/>
      <c r="J499" s="269"/>
      <c r="K499" s="269"/>
      <c r="L499" s="269"/>
      <c r="M499" s="269"/>
      <c r="N499" s="269"/>
      <c r="O499" s="269"/>
    </row>
    <row r="500" spans="2:15" ht="9.75" customHeight="1" x14ac:dyDescent="0.2">
      <c r="B500" s="269"/>
      <c r="C500" s="269"/>
      <c r="E500" s="269"/>
      <c r="H500" s="269"/>
      <c r="J500" s="269"/>
      <c r="K500" s="269"/>
      <c r="L500" s="269"/>
      <c r="M500" s="269"/>
      <c r="N500" s="269"/>
      <c r="O500" s="269"/>
    </row>
    <row r="501" spans="2:15" ht="9.75" customHeight="1" x14ac:dyDescent="0.2">
      <c r="B501" s="269"/>
      <c r="C501" s="269"/>
      <c r="E501" s="269"/>
      <c r="H501" s="269"/>
      <c r="J501" s="269"/>
      <c r="K501" s="269"/>
      <c r="L501" s="269"/>
      <c r="M501" s="269"/>
      <c r="N501" s="269"/>
      <c r="O501" s="269"/>
    </row>
    <row r="502" spans="2:15" ht="9.75" customHeight="1" x14ac:dyDescent="0.2">
      <c r="B502" s="269"/>
      <c r="C502" s="269"/>
      <c r="E502" s="269"/>
      <c r="H502" s="269"/>
      <c r="J502" s="269"/>
      <c r="K502" s="269"/>
      <c r="L502" s="269"/>
      <c r="M502" s="269"/>
      <c r="N502" s="269"/>
      <c r="O502" s="269"/>
    </row>
    <row r="503" spans="2:15" ht="9.75" customHeight="1" x14ac:dyDescent="0.2">
      <c r="B503" s="269"/>
      <c r="C503" s="269"/>
      <c r="E503" s="269"/>
      <c r="H503" s="269"/>
      <c r="J503" s="269"/>
      <c r="K503" s="269"/>
      <c r="L503" s="269"/>
      <c r="M503" s="269"/>
      <c r="N503" s="269"/>
      <c r="O503" s="269"/>
    </row>
    <row r="504" spans="2:15" ht="9.75" customHeight="1" x14ac:dyDescent="0.2">
      <c r="B504" s="269"/>
      <c r="C504" s="269"/>
      <c r="E504" s="269"/>
      <c r="H504" s="269"/>
      <c r="J504" s="269"/>
      <c r="K504" s="269"/>
      <c r="L504" s="269"/>
      <c r="M504" s="269"/>
      <c r="N504" s="269"/>
      <c r="O504" s="269"/>
    </row>
    <row r="505" spans="2:15" ht="9.75" customHeight="1" x14ac:dyDescent="0.2">
      <c r="B505" s="269"/>
      <c r="C505" s="269"/>
      <c r="E505" s="269"/>
      <c r="H505" s="269"/>
      <c r="J505" s="269"/>
      <c r="K505" s="269"/>
      <c r="L505" s="269"/>
      <c r="M505" s="269"/>
      <c r="N505" s="269"/>
      <c r="O505" s="269"/>
    </row>
    <row r="506" spans="2:15" ht="9.75" customHeight="1" x14ac:dyDescent="0.2">
      <c r="B506" s="269"/>
      <c r="C506" s="269"/>
      <c r="E506" s="269"/>
      <c r="H506" s="269"/>
      <c r="J506" s="269"/>
      <c r="K506" s="269"/>
      <c r="L506" s="269"/>
      <c r="M506" s="269"/>
      <c r="N506" s="269"/>
      <c r="O506" s="269"/>
    </row>
    <row r="507" spans="2:15" ht="9.75" customHeight="1" x14ac:dyDescent="0.2">
      <c r="B507" s="269"/>
      <c r="C507" s="269"/>
      <c r="E507" s="269"/>
      <c r="H507" s="269"/>
      <c r="J507" s="269"/>
      <c r="K507" s="269"/>
      <c r="L507" s="269"/>
      <c r="M507" s="269"/>
      <c r="N507" s="269"/>
      <c r="O507" s="269"/>
    </row>
    <row r="508" spans="2:15" ht="9.75" customHeight="1" x14ac:dyDescent="0.2">
      <c r="B508" s="269"/>
      <c r="C508" s="269"/>
      <c r="E508" s="269"/>
      <c r="H508" s="269"/>
      <c r="J508" s="269"/>
      <c r="K508" s="269"/>
      <c r="L508" s="269"/>
      <c r="M508" s="269"/>
      <c r="N508" s="269"/>
      <c r="O508" s="269"/>
    </row>
    <row r="509" spans="2:15" ht="9.75" customHeight="1" x14ac:dyDescent="0.2">
      <c r="B509" s="269"/>
      <c r="C509" s="269"/>
      <c r="E509" s="269"/>
      <c r="H509" s="269"/>
      <c r="J509" s="269"/>
      <c r="K509" s="269"/>
      <c r="L509" s="269"/>
      <c r="M509" s="269"/>
      <c r="N509" s="269"/>
      <c r="O509" s="269"/>
    </row>
    <row r="510" spans="2:15" ht="9.75" customHeight="1" x14ac:dyDescent="0.2">
      <c r="B510" s="269"/>
      <c r="C510" s="269"/>
      <c r="E510" s="269"/>
      <c r="H510" s="269"/>
      <c r="J510" s="269"/>
      <c r="K510" s="269"/>
      <c r="L510" s="269"/>
      <c r="M510" s="269"/>
      <c r="N510" s="269"/>
      <c r="O510" s="269"/>
    </row>
    <row r="511" spans="2:15" ht="9.75" customHeight="1" x14ac:dyDescent="0.2">
      <c r="B511" s="269"/>
      <c r="C511" s="269"/>
      <c r="E511" s="269"/>
      <c r="H511" s="269"/>
      <c r="J511" s="269"/>
      <c r="K511" s="269"/>
      <c r="L511" s="269"/>
      <c r="M511" s="269"/>
      <c r="N511" s="269"/>
      <c r="O511" s="269"/>
    </row>
    <row r="512" spans="2:15" ht="9.75" customHeight="1" x14ac:dyDescent="0.2">
      <c r="B512" s="269"/>
      <c r="C512" s="269"/>
      <c r="E512" s="269"/>
      <c r="H512" s="269"/>
      <c r="J512" s="269"/>
      <c r="K512" s="269"/>
      <c r="L512" s="269"/>
      <c r="M512" s="269"/>
      <c r="N512" s="269"/>
      <c r="O512" s="269"/>
    </row>
    <row r="513" spans="2:15" ht="9.75" customHeight="1" x14ac:dyDescent="0.2">
      <c r="B513" s="269"/>
      <c r="C513" s="269"/>
      <c r="E513" s="269"/>
      <c r="H513" s="269"/>
      <c r="J513" s="269"/>
      <c r="K513" s="269"/>
      <c r="L513" s="269"/>
      <c r="M513" s="269"/>
      <c r="N513" s="269"/>
      <c r="O513" s="269"/>
    </row>
    <row r="514" spans="2:15" ht="9.75" customHeight="1" x14ac:dyDescent="0.2">
      <c r="B514" s="269"/>
      <c r="C514" s="269"/>
      <c r="E514" s="269"/>
      <c r="H514" s="269"/>
      <c r="J514" s="269"/>
      <c r="K514" s="269"/>
      <c r="L514" s="269"/>
      <c r="M514" s="269"/>
      <c r="N514" s="269"/>
      <c r="O514" s="269"/>
    </row>
    <row r="515" spans="2:15" ht="9.75" customHeight="1" x14ac:dyDescent="0.2">
      <c r="B515" s="269"/>
      <c r="C515" s="269"/>
      <c r="E515" s="269"/>
      <c r="H515" s="269"/>
      <c r="J515" s="269"/>
      <c r="K515" s="269"/>
      <c r="L515" s="269"/>
      <c r="M515" s="269"/>
      <c r="N515" s="269"/>
      <c r="O515" s="269"/>
    </row>
    <row r="516" spans="2:15" ht="9.75" customHeight="1" x14ac:dyDescent="0.2">
      <c r="B516" s="269"/>
      <c r="C516" s="269"/>
      <c r="E516" s="269"/>
      <c r="H516" s="269"/>
      <c r="J516" s="269"/>
      <c r="K516" s="269"/>
      <c r="L516" s="269"/>
      <c r="M516" s="269"/>
      <c r="N516" s="269"/>
      <c r="O516" s="269"/>
    </row>
    <row r="517" spans="2:15" ht="9.75" customHeight="1" x14ac:dyDescent="0.2">
      <c r="B517" s="269"/>
      <c r="C517" s="269"/>
      <c r="E517" s="269"/>
      <c r="H517" s="269"/>
      <c r="J517" s="269"/>
      <c r="K517" s="269"/>
      <c r="L517" s="269"/>
      <c r="M517" s="269"/>
      <c r="N517" s="269"/>
      <c r="O517" s="269"/>
    </row>
    <row r="518" spans="2:15" ht="9.75" customHeight="1" x14ac:dyDescent="0.2">
      <c r="B518" s="269"/>
      <c r="C518" s="269"/>
      <c r="E518" s="269"/>
      <c r="H518" s="269"/>
      <c r="J518" s="269"/>
      <c r="K518" s="269"/>
      <c r="L518" s="269"/>
      <c r="M518" s="269"/>
      <c r="N518" s="269"/>
      <c r="O518" s="269"/>
    </row>
    <row r="519" spans="2:15" ht="9.75" customHeight="1" x14ac:dyDescent="0.2">
      <c r="B519" s="269"/>
      <c r="C519" s="269"/>
      <c r="E519" s="269"/>
      <c r="H519" s="269"/>
      <c r="J519" s="269"/>
      <c r="K519" s="269"/>
      <c r="L519" s="269"/>
      <c r="M519" s="269"/>
      <c r="N519" s="269"/>
      <c r="O519" s="269"/>
    </row>
    <row r="520" spans="2:15" ht="9.75" customHeight="1" x14ac:dyDescent="0.2">
      <c r="B520" s="269"/>
      <c r="C520" s="269"/>
      <c r="E520" s="269"/>
      <c r="H520" s="269"/>
      <c r="J520" s="269"/>
      <c r="K520" s="269"/>
      <c r="L520" s="269"/>
      <c r="M520" s="269"/>
      <c r="N520" s="269"/>
      <c r="O520" s="269"/>
    </row>
    <row r="521" spans="2:15" ht="9.75" customHeight="1" x14ac:dyDescent="0.2">
      <c r="B521" s="269"/>
      <c r="C521" s="269"/>
      <c r="E521" s="269"/>
      <c r="H521" s="269"/>
      <c r="J521" s="269"/>
      <c r="K521" s="269"/>
      <c r="L521" s="269"/>
      <c r="M521" s="269"/>
      <c r="N521" s="269"/>
      <c r="O521" s="269"/>
    </row>
    <row r="522" spans="2:15" ht="9.75" customHeight="1" x14ac:dyDescent="0.2">
      <c r="B522" s="269"/>
      <c r="C522" s="269"/>
      <c r="E522" s="269"/>
      <c r="H522" s="269"/>
      <c r="J522" s="269"/>
      <c r="K522" s="269"/>
      <c r="L522" s="269"/>
      <c r="M522" s="269"/>
      <c r="N522" s="269"/>
      <c r="O522" s="269"/>
    </row>
    <row r="523" spans="2:15" ht="9.75" customHeight="1" x14ac:dyDescent="0.2">
      <c r="B523" s="269"/>
      <c r="C523" s="269"/>
      <c r="E523" s="269"/>
      <c r="H523" s="269"/>
      <c r="J523" s="269"/>
      <c r="K523" s="269"/>
      <c r="L523" s="269"/>
      <c r="M523" s="269"/>
      <c r="N523" s="269"/>
      <c r="O523" s="269"/>
    </row>
    <row r="524" spans="2:15" ht="9.75" customHeight="1" x14ac:dyDescent="0.2">
      <c r="B524" s="269"/>
      <c r="C524" s="269"/>
      <c r="E524" s="269"/>
      <c r="H524" s="269"/>
      <c r="J524" s="269"/>
      <c r="K524" s="269"/>
      <c r="L524" s="269"/>
      <c r="M524" s="269"/>
      <c r="N524" s="269"/>
      <c r="O524" s="269"/>
    </row>
    <row r="525" spans="2:15" ht="9.75" customHeight="1" x14ac:dyDescent="0.2">
      <c r="B525" s="269"/>
      <c r="C525" s="269"/>
      <c r="E525" s="269"/>
      <c r="H525" s="269"/>
      <c r="J525" s="269"/>
      <c r="K525" s="269"/>
      <c r="L525" s="269"/>
      <c r="M525" s="269"/>
      <c r="N525" s="269"/>
      <c r="O525" s="269"/>
    </row>
    <row r="526" spans="2:15" ht="9.75" customHeight="1" x14ac:dyDescent="0.2">
      <c r="B526" s="269"/>
      <c r="C526" s="269"/>
      <c r="E526" s="269"/>
      <c r="H526" s="269"/>
      <c r="J526" s="269"/>
      <c r="K526" s="269"/>
      <c r="L526" s="269"/>
      <c r="M526" s="269"/>
      <c r="N526" s="269"/>
      <c r="O526" s="269"/>
    </row>
    <row r="527" spans="2:15" ht="9.75" customHeight="1" x14ac:dyDescent="0.2">
      <c r="B527" s="269"/>
      <c r="C527" s="269"/>
      <c r="E527" s="269"/>
      <c r="H527" s="269"/>
      <c r="J527" s="269"/>
      <c r="K527" s="269"/>
      <c r="L527" s="269"/>
      <c r="M527" s="269"/>
      <c r="N527" s="269"/>
      <c r="O527" s="269"/>
    </row>
    <row r="528" spans="2:15" ht="9.75" customHeight="1" x14ac:dyDescent="0.2">
      <c r="B528" s="269"/>
      <c r="C528" s="269"/>
      <c r="E528" s="269"/>
      <c r="H528" s="269"/>
      <c r="J528" s="269"/>
      <c r="K528" s="269"/>
      <c r="L528" s="269"/>
      <c r="M528" s="269"/>
      <c r="N528" s="269"/>
      <c r="O528" s="269"/>
    </row>
    <row r="529" spans="2:15" ht="9.75" customHeight="1" x14ac:dyDescent="0.2">
      <c r="B529" s="269"/>
      <c r="C529" s="269"/>
      <c r="E529" s="269"/>
      <c r="H529" s="269"/>
      <c r="J529" s="269"/>
      <c r="K529" s="269"/>
      <c r="L529" s="269"/>
      <c r="M529" s="269"/>
      <c r="N529" s="269"/>
      <c r="O529" s="269"/>
    </row>
    <row r="530" spans="2:15" ht="9.75" customHeight="1" x14ac:dyDescent="0.2">
      <c r="B530" s="269"/>
      <c r="C530" s="269"/>
      <c r="E530" s="269"/>
      <c r="H530" s="269"/>
      <c r="J530" s="269"/>
      <c r="K530" s="269"/>
      <c r="L530" s="269"/>
      <c r="M530" s="269"/>
      <c r="N530" s="269"/>
      <c r="O530" s="269"/>
    </row>
    <row r="531" spans="2:15" ht="9.75" customHeight="1" x14ac:dyDescent="0.2">
      <c r="B531" s="269"/>
      <c r="C531" s="269"/>
      <c r="E531" s="269"/>
      <c r="H531" s="269"/>
      <c r="J531" s="269"/>
      <c r="K531" s="269"/>
      <c r="L531" s="269"/>
      <c r="M531" s="269"/>
      <c r="N531" s="269"/>
      <c r="O531" s="269"/>
    </row>
    <row r="532" spans="2:15" ht="9.75" customHeight="1" x14ac:dyDescent="0.2">
      <c r="B532" s="269"/>
      <c r="C532" s="269"/>
      <c r="E532" s="269"/>
      <c r="H532" s="269"/>
      <c r="J532" s="269"/>
      <c r="K532" s="269"/>
      <c r="L532" s="269"/>
      <c r="M532" s="269"/>
      <c r="N532" s="269"/>
      <c r="O532" s="269"/>
    </row>
    <row r="533" spans="2:15" ht="9.75" customHeight="1" x14ac:dyDescent="0.2">
      <c r="B533" s="269"/>
      <c r="C533" s="269"/>
      <c r="E533" s="269"/>
      <c r="H533" s="269"/>
      <c r="J533" s="269"/>
      <c r="K533" s="269"/>
      <c r="L533" s="269"/>
      <c r="M533" s="269"/>
      <c r="N533" s="269"/>
      <c r="O533" s="269"/>
    </row>
  </sheetData>
  <mergeCells count="115">
    <mergeCell ref="B61:E61"/>
    <mergeCell ref="B62:E62"/>
    <mergeCell ref="B63:E63"/>
    <mergeCell ref="B64:E64"/>
    <mergeCell ref="B65:E65"/>
    <mergeCell ref="I67:M67"/>
    <mergeCell ref="K55:M57"/>
    <mergeCell ref="N55:O57"/>
    <mergeCell ref="B57:C57"/>
    <mergeCell ref="B58:C58"/>
    <mergeCell ref="D58:P58"/>
    <mergeCell ref="F59:J60"/>
    <mergeCell ref="K59:O60"/>
    <mergeCell ref="K52:M54"/>
    <mergeCell ref="N52:O54"/>
    <mergeCell ref="B49:C50"/>
    <mergeCell ref="D49:D50"/>
    <mergeCell ref="K49:M51"/>
    <mergeCell ref="N49:O51"/>
    <mergeCell ref="E50:E51"/>
    <mergeCell ref="F50:G51"/>
    <mergeCell ref="H50:I51"/>
    <mergeCell ref="J50:J51"/>
    <mergeCell ref="B51:C52"/>
    <mergeCell ref="D51:D52"/>
    <mergeCell ref="B53:C54"/>
    <mergeCell ref="D53:D54"/>
    <mergeCell ref="E54:E55"/>
    <mergeCell ref="F54:G55"/>
    <mergeCell ref="H54:I55"/>
    <mergeCell ref="J54:J55"/>
    <mergeCell ref="B55:C56"/>
    <mergeCell ref="D55:D56"/>
    <mergeCell ref="E52:E53"/>
    <mergeCell ref="F52:G53"/>
    <mergeCell ref="H52:I53"/>
    <mergeCell ref="J52:J53"/>
    <mergeCell ref="H46:I47"/>
    <mergeCell ref="J46:J47"/>
    <mergeCell ref="K46:M48"/>
    <mergeCell ref="N46:O48"/>
    <mergeCell ref="B47:C48"/>
    <mergeCell ref="D47:D48"/>
    <mergeCell ref="E48:E49"/>
    <mergeCell ref="F48:G49"/>
    <mergeCell ref="H48:I49"/>
    <mergeCell ref="J48:J49"/>
    <mergeCell ref="C43:D43"/>
    <mergeCell ref="C44:D44"/>
    <mergeCell ref="A45:B45"/>
    <mergeCell ref="D45:E45"/>
    <mergeCell ref="F45:G45"/>
    <mergeCell ref="E46:E47"/>
    <mergeCell ref="F46:G47"/>
    <mergeCell ref="C37:D37"/>
    <mergeCell ref="C38:D38"/>
    <mergeCell ref="C39:D39"/>
    <mergeCell ref="C40:D40"/>
    <mergeCell ref="C41:D41"/>
    <mergeCell ref="C42:D42"/>
    <mergeCell ref="C31:D31"/>
    <mergeCell ref="C32:D32"/>
    <mergeCell ref="C33:D33"/>
    <mergeCell ref="C34:D34"/>
    <mergeCell ref="C35:D35"/>
    <mergeCell ref="C36:D36"/>
    <mergeCell ref="C25:D25"/>
    <mergeCell ref="C26:D26"/>
    <mergeCell ref="C27:D27"/>
    <mergeCell ref="C28:D28"/>
    <mergeCell ref="C29:D29"/>
    <mergeCell ref="C30:D30"/>
    <mergeCell ref="C19:D19"/>
    <mergeCell ref="C20:D20"/>
    <mergeCell ref="C21:D21"/>
    <mergeCell ref="C22:D22"/>
    <mergeCell ref="C23:D23"/>
    <mergeCell ref="C24:D24"/>
    <mergeCell ref="H17:H18"/>
    <mergeCell ref="I17:I18"/>
    <mergeCell ref="J17:J18"/>
    <mergeCell ref="K17:L17"/>
    <mergeCell ref="M17:N17"/>
    <mergeCell ref="O17:P18"/>
    <mergeCell ref="A17:A18"/>
    <mergeCell ref="B17:B18"/>
    <mergeCell ref="C17:D18"/>
    <mergeCell ref="E17:E18"/>
    <mergeCell ref="F17:F18"/>
    <mergeCell ref="G17:G18"/>
    <mergeCell ref="B14:C14"/>
    <mergeCell ref="D14:I14"/>
    <mergeCell ref="B15:C15"/>
    <mergeCell ref="D15:I15"/>
    <mergeCell ref="B16:C16"/>
    <mergeCell ref="D16:I16"/>
    <mergeCell ref="B12:C12"/>
    <mergeCell ref="D12:I12"/>
    <mergeCell ref="K12:M12"/>
    <mergeCell ref="E1:I2"/>
    <mergeCell ref="A3:P4"/>
    <mergeCell ref="A5:P5"/>
    <mergeCell ref="A6:P6"/>
    <mergeCell ref="A7:P7"/>
    <mergeCell ref="K1:P2"/>
    <mergeCell ref="N12:O12"/>
    <mergeCell ref="B13:C13"/>
    <mergeCell ref="D13:I13"/>
    <mergeCell ref="B9:D9"/>
    <mergeCell ref="K9:M9"/>
    <mergeCell ref="N9:O9"/>
    <mergeCell ref="B11:C11"/>
    <mergeCell ref="D11:I11"/>
    <mergeCell ref="K11:M11"/>
    <mergeCell ref="N11:O11"/>
  </mergeCells>
  <pageMargins left="0.47244094488188981" right="0" top="0.47244094488188981" bottom="0" header="0" footer="0"/>
  <pageSetup scale="92" orientation="portrait" r:id="rId1"/>
  <drawing r:id="rId2"/>
  <legacyDrawing r:id="rId3"/>
  <controls>
    <mc:AlternateContent xmlns:mc="http://schemas.openxmlformats.org/markup-compatibility/2006">
      <mc:Choice Requires="x14">
        <control shapeId="55300" r:id="rId4" name="CommandButton4">
          <controlPr defaultSize="0" print="0" autoLine="0" r:id="rId5">
            <anchor moveWithCells="1">
              <from>
                <xdr:col>3</xdr:col>
                <xdr:colOff>95250</xdr:colOff>
                <xdr:row>1</xdr:row>
                <xdr:rowOff>9525</xdr:rowOff>
              </from>
              <to>
                <xdr:col>3</xdr:col>
                <xdr:colOff>247650</xdr:colOff>
                <xdr:row>1</xdr:row>
                <xdr:rowOff>57150</xdr:rowOff>
              </to>
            </anchor>
          </controlPr>
        </control>
      </mc:Choice>
      <mc:Fallback>
        <control shapeId="55300" r:id="rId4" name="CommandButton4"/>
      </mc:Fallback>
    </mc:AlternateContent>
    <mc:AlternateContent xmlns:mc="http://schemas.openxmlformats.org/markup-compatibility/2006">
      <mc:Choice Requires="x14">
        <control shapeId="55299" r:id="rId6" name="CommandButton3">
          <controlPr defaultSize="0" print="0" autoLine="0" r:id="rId7">
            <anchor moveWithCells="1">
              <from>
                <xdr:col>3</xdr:col>
                <xdr:colOff>257175</xdr:colOff>
                <xdr:row>1</xdr:row>
                <xdr:rowOff>9525</xdr:rowOff>
              </from>
              <to>
                <xdr:col>3</xdr:col>
                <xdr:colOff>419100</xdr:colOff>
                <xdr:row>1</xdr:row>
                <xdr:rowOff>57150</xdr:rowOff>
              </to>
            </anchor>
          </controlPr>
        </control>
      </mc:Choice>
      <mc:Fallback>
        <control shapeId="55299" r:id="rId6" name="CommandButton3"/>
      </mc:Fallback>
    </mc:AlternateContent>
    <mc:AlternateContent xmlns:mc="http://schemas.openxmlformats.org/markup-compatibility/2006">
      <mc:Choice Requires="x14">
        <control shapeId="55298" r:id="rId8" name="CommandButton2">
          <controlPr defaultSize="0" print="0" autoLine="0" autoPict="0" r:id="rId9">
            <anchor moveWithCells="1">
              <from>
                <xdr:col>3</xdr:col>
                <xdr:colOff>85725</xdr:colOff>
                <xdr:row>0</xdr:row>
                <xdr:rowOff>95250</xdr:rowOff>
              </from>
              <to>
                <xdr:col>3</xdr:col>
                <xdr:colOff>228600</xdr:colOff>
                <xdr:row>1</xdr:row>
                <xdr:rowOff>0</xdr:rowOff>
              </to>
            </anchor>
          </controlPr>
        </control>
      </mc:Choice>
      <mc:Fallback>
        <control shapeId="55298" r:id="rId8" name="CommandButton2"/>
      </mc:Fallback>
    </mc:AlternateContent>
    <mc:AlternateContent xmlns:mc="http://schemas.openxmlformats.org/markup-compatibility/2006">
      <mc:Choice Requires="x14">
        <control shapeId="55297" r:id="rId10" name="CommandButton1">
          <controlPr defaultSize="0" print="0" autoLine="0" autoPict="0" r:id="rId9">
            <anchor moveWithCells="1">
              <from>
                <xdr:col>3</xdr:col>
                <xdr:colOff>257175</xdr:colOff>
                <xdr:row>0</xdr:row>
                <xdr:rowOff>95250</xdr:rowOff>
              </from>
              <to>
                <xdr:col>3</xdr:col>
                <xdr:colOff>400050</xdr:colOff>
                <xdr:row>1</xdr:row>
                <xdr:rowOff>0</xdr:rowOff>
              </to>
            </anchor>
          </controlPr>
        </control>
      </mc:Choice>
      <mc:Fallback>
        <control shapeId="55297" r:id="rId10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>
    <tabColor rgb="FFFFFF00"/>
  </sheetPr>
  <dimension ref="A1:Q533"/>
  <sheetViews>
    <sheetView showZeros="0" zoomScale="115" zoomScaleNormal="115" workbookViewId="0">
      <selection activeCell="A7" sqref="A7:P7"/>
    </sheetView>
  </sheetViews>
  <sheetFormatPr defaultRowHeight="9.75" customHeight="1" x14ac:dyDescent="0.2"/>
  <cols>
    <col min="1" max="1" width="2.7109375" style="269" customWidth="1"/>
    <col min="2" max="2" width="7" style="270" customWidth="1"/>
    <col min="3" max="3" width="7.7109375" style="270" customWidth="1"/>
    <col min="4" max="4" width="19.5703125" style="269" customWidth="1"/>
    <col min="5" max="5" width="9" style="270" customWidth="1"/>
    <col min="6" max="6" width="7.42578125" style="269" customWidth="1"/>
    <col min="7" max="7" width="4.7109375" style="269" customWidth="1"/>
    <col min="8" max="8" width="6.85546875" style="303" customWidth="1"/>
    <col min="9" max="9" width="2.5703125" style="269" customWidth="1"/>
    <col min="10" max="10" width="8.28515625" style="310" customWidth="1"/>
    <col min="11" max="11" width="4.140625" style="306" customWidth="1"/>
    <col min="12" max="12" width="7.140625" style="303" customWidth="1"/>
    <col min="13" max="13" width="4.42578125" style="306" customWidth="1"/>
    <col min="14" max="14" width="7.140625" style="303" customWidth="1"/>
    <col min="15" max="15" width="8.28515625" style="303" customWidth="1"/>
    <col min="16" max="16" width="0.5703125" style="269" customWidth="1"/>
    <col min="17" max="16384" width="9.140625" style="269"/>
  </cols>
  <sheetData>
    <row r="1" spans="1:17" ht="11.25" customHeight="1" x14ac:dyDescent="0.25">
      <c r="A1" s="268"/>
      <c r="B1" s="268"/>
      <c r="C1" s="268"/>
      <c r="D1" s="268"/>
      <c r="E1" s="529" t="s">
        <v>55</v>
      </c>
      <c r="F1" s="529"/>
      <c r="G1" s="529"/>
      <c r="H1" s="529"/>
      <c r="I1" s="529"/>
      <c r="J1" s="307"/>
      <c r="K1" s="623" t="s">
        <v>62</v>
      </c>
      <c r="L1" s="623"/>
      <c r="M1" s="623"/>
      <c r="N1" s="623"/>
      <c r="O1" s="623"/>
      <c r="P1" s="268"/>
      <c r="Q1" s="267"/>
    </row>
    <row r="2" spans="1:17" s="267" customFormat="1" ht="12" customHeight="1" x14ac:dyDescent="0.25">
      <c r="A2" s="272"/>
      <c r="B2" s="272"/>
      <c r="C2" s="272"/>
      <c r="D2" s="272"/>
      <c r="E2" s="529"/>
      <c r="F2" s="529"/>
      <c r="G2" s="529"/>
      <c r="H2" s="529"/>
      <c r="I2" s="529"/>
      <c r="J2" s="307"/>
      <c r="K2" s="624"/>
      <c r="L2" s="624"/>
      <c r="M2" s="624"/>
      <c r="N2" s="624"/>
      <c r="O2" s="624"/>
      <c r="P2" s="273"/>
    </row>
    <row r="3" spans="1:17" ht="15" customHeight="1" x14ac:dyDescent="0.2">
      <c r="A3" s="532" t="str">
        <f>BILL!A3</f>
        <v>Firm Name</v>
      </c>
      <c r="B3" s="533"/>
      <c r="C3" s="533"/>
      <c r="D3" s="533"/>
      <c r="E3" s="533"/>
      <c r="F3" s="533"/>
      <c r="G3" s="533"/>
      <c r="H3" s="533"/>
      <c r="I3" s="533"/>
      <c r="J3" s="533"/>
      <c r="K3" s="533"/>
      <c r="L3" s="533"/>
      <c r="M3" s="533"/>
      <c r="N3" s="533"/>
      <c r="O3" s="533"/>
      <c r="P3" s="534"/>
      <c r="Q3" s="267"/>
    </row>
    <row r="4" spans="1:17" ht="11.25" x14ac:dyDescent="0.2">
      <c r="A4" s="535"/>
      <c r="B4" s="536"/>
      <c r="C4" s="536"/>
      <c r="D4" s="536"/>
      <c r="E4" s="536"/>
      <c r="F4" s="536"/>
      <c r="G4" s="536"/>
      <c r="H4" s="536"/>
      <c r="I4" s="536"/>
      <c r="J4" s="536"/>
      <c r="K4" s="536"/>
      <c r="L4" s="536"/>
      <c r="M4" s="536"/>
      <c r="N4" s="536"/>
      <c r="O4" s="536"/>
      <c r="P4" s="537"/>
      <c r="Q4" s="267"/>
    </row>
    <row r="5" spans="1:17" ht="12" x14ac:dyDescent="0.2">
      <c r="A5" s="538" t="str">
        <f>BILL!A5</f>
        <v>Address: XXXXXXXXXXXXXXXXX, XXXXXXXXXXXXXX</v>
      </c>
      <c r="B5" s="539"/>
      <c r="C5" s="539"/>
      <c r="D5" s="539"/>
      <c r="E5" s="539"/>
      <c r="F5" s="539"/>
      <c r="G5" s="539"/>
      <c r="H5" s="539"/>
      <c r="I5" s="539"/>
      <c r="J5" s="539"/>
      <c r="K5" s="539"/>
      <c r="L5" s="539"/>
      <c r="M5" s="539"/>
      <c r="N5" s="539"/>
      <c r="O5" s="539"/>
      <c r="P5" s="540"/>
      <c r="Q5" s="267"/>
    </row>
    <row r="6" spans="1:17" ht="12" x14ac:dyDescent="0.2">
      <c r="A6" s="538" t="str">
        <f>BILL!A6</f>
        <v xml:space="preserve">Phone: XXXXX-XXXXX, Email: XXXXX-XXXXX@gmail.com </v>
      </c>
      <c r="B6" s="539"/>
      <c r="C6" s="539"/>
      <c r="D6" s="539"/>
      <c r="E6" s="539"/>
      <c r="F6" s="539"/>
      <c r="G6" s="539"/>
      <c r="H6" s="539"/>
      <c r="I6" s="539"/>
      <c r="J6" s="539"/>
      <c r="K6" s="539"/>
      <c r="L6" s="539"/>
      <c r="M6" s="539"/>
      <c r="N6" s="539"/>
      <c r="O6" s="539"/>
      <c r="P6" s="540"/>
      <c r="Q6" s="267"/>
    </row>
    <row r="7" spans="1:17" ht="12.75" x14ac:dyDescent="0.2">
      <c r="A7" s="541" t="str">
        <f>BILL!A7</f>
        <v xml:space="preserve">GSTN: XXXXXXXXXXXXXXX </v>
      </c>
      <c r="B7" s="542"/>
      <c r="C7" s="542"/>
      <c r="D7" s="542"/>
      <c r="E7" s="542"/>
      <c r="F7" s="542"/>
      <c r="G7" s="542"/>
      <c r="H7" s="542"/>
      <c r="I7" s="542"/>
      <c r="J7" s="542"/>
      <c r="K7" s="542"/>
      <c r="L7" s="542"/>
      <c r="M7" s="542"/>
      <c r="N7" s="542"/>
      <c r="O7" s="542"/>
      <c r="P7" s="543"/>
      <c r="Q7" s="267"/>
    </row>
    <row r="8" spans="1:17" ht="5.0999999999999996" customHeight="1" x14ac:dyDescent="0.25">
      <c r="A8" s="281"/>
      <c r="B8" s="282" t="s">
        <v>28</v>
      </c>
      <c r="C8" s="283"/>
      <c r="D8" s="279"/>
      <c r="E8" s="284"/>
      <c r="F8" s="279"/>
      <c r="G8" s="279"/>
      <c r="H8" s="299"/>
      <c r="I8" s="279"/>
      <c r="J8" s="308"/>
      <c r="K8" s="304"/>
      <c r="L8" s="311"/>
      <c r="M8" s="313"/>
      <c r="N8" s="311"/>
      <c r="O8" s="311"/>
      <c r="P8" s="280"/>
      <c r="Q8" s="267"/>
    </row>
    <row r="9" spans="1:17" ht="15.75" x14ac:dyDescent="0.25">
      <c r="A9" s="285"/>
      <c r="B9" s="547" t="s">
        <v>53</v>
      </c>
      <c r="C9" s="547"/>
      <c r="D9" s="547"/>
      <c r="E9" s="329"/>
      <c r="F9" s="330"/>
      <c r="G9" s="330"/>
      <c r="H9" s="331"/>
      <c r="I9" s="330"/>
      <c r="J9" s="309"/>
      <c r="K9" s="548" t="s">
        <v>88</v>
      </c>
      <c r="L9" s="549"/>
      <c r="M9" s="549"/>
      <c r="N9" s="550">
        <f>BILL!N9</f>
        <v>1933</v>
      </c>
      <c r="O9" s="550"/>
      <c r="P9" s="274"/>
      <c r="Q9" s="267"/>
    </row>
    <row r="10" spans="1:17" ht="5.25" customHeight="1" x14ac:dyDescent="0.2">
      <c r="A10" s="285"/>
      <c r="B10" s="329"/>
      <c r="C10" s="329"/>
      <c r="D10" s="330"/>
      <c r="E10" s="329"/>
      <c r="F10" s="330"/>
      <c r="G10" s="330"/>
      <c r="H10" s="331"/>
      <c r="I10" s="330"/>
      <c r="J10" s="309"/>
      <c r="K10" s="332"/>
      <c r="L10" s="333"/>
      <c r="M10" s="332"/>
      <c r="N10" s="333"/>
      <c r="O10" s="333"/>
      <c r="P10" s="275"/>
      <c r="Q10" s="267"/>
    </row>
    <row r="11" spans="1:17" ht="15" x14ac:dyDescent="0.25">
      <c r="A11" s="285"/>
      <c r="B11" s="545" t="s">
        <v>27</v>
      </c>
      <c r="C11" s="545"/>
      <c r="D11" s="547">
        <f>BILL!D11</f>
        <v>0</v>
      </c>
      <c r="E11" s="547"/>
      <c r="F11" s="547"/>
      <c r="G11" s="547"/>
      <c r="H11" s="547"/>
      <c r="I11" s="547"/>
      <c r="J11" s="309"/>
      <c r="K11" s="548" t="s">
        <v>89</v>
      </c>
      <c r="L11" s="549"/>
      <c r="M11" s="549"/>
      <c r="N11" s="551">
        <f>BILL!N11</f>
        <v>0</v>
      </c>
      <c r="O11" s="551"/>
      <c r="P11" s="276"/>
      <c r="Q11" s="267"/>
    </row>
    <row r="12" spans="1:17" ht="15" x14ac:dyDescent="0.25">
      <c r="A12" s="285"/>
      <c r="B12" s="545"/>
      <c r="C12" s="545"/>
      <c r="D12" s="547">
        <f>BILL!D12</f>
        <v>0</v>
      </c>
      <c r="E12" s="547"/>
      <c r="F12" s="547"/>
      <c r="G12" s="547"/>
      <c r="H12" s="547"/>
      <c r="I12" s="547"/>
      <c r="J12" s="309"/>
      <c r="K12" s="548" t="s">
        <v>90</v>
      </c>
      <c r="L12" s="549"/>
      <c r="M12" s="549"/>
      <c r="N12" s="544">
        <f>BILL!N12</f>
        <v>0</v>
      </c>
      <c r="O12" s="544"/>
      <c r="P12" s="277"/>
      <c r="Q12" s="267"/>
    </row>
    <row r="13" spans="1:17" ht="15" x14ac:dyDescent="0.25">
      <c r="A13" s="285"/>
      <c r="B13" s="545" t="s">
        <v>43</v>
      </c>
      <c r="C13" s="545"/>
      <c r="D13" s="546">
        <f>BILL!D13</f>
        <v>0</v>
      </c>
      <c r="E13" s="546"/>
      <c r="F13" s="546"/>
      <c r="G13" s="546"/>
      <c r="H13" s="546"/>
      <c r="I13" s="546"/>
      <c r="J13" s="309"/>
      <c r="K13" s="305"/>
      <c r="L13" s="312"/>
      <c r="M13" s="314"/>
      <c r="N13" s="315"/>
      <c r="O13" s="315"/>
      <c r="P13" s="278"/>
      <c r="Q13" s="267"/>
    </row>
    <row r="14" spans="1:17" ht="14.25" x14ac:dyDescent="0.2">
      <c r="A14" s="285"/>
      <c r="B14" s="545" t="s">
        <v>26</v>
      </c>
      <c r="C14" s="545"/>
      <c r="D14" s="546">
        <f>BILL!D14</f>
        <v>0</v>
      </c>
      <c r="E14" s="546"/>
      <c r="F14" s="546"/>
      <c r="G14" s="546"/>
      <c r="H14" s="546"/>
      <c r="I14" s="546"/>
      <c r="J14" s="309"/>
      <c r="K14" s="305"/>
      <c r="L14" s="300"/>
      <c r="M14" s="305"/>
      <c r="N14" s="300"/>
      <c r="O14" s="300"/>
      <c r="P14" s="275"/>
      <c r="Q14" s="267"/>
    </row>
    <row r="15" spans="1:17" ht="14.25" x14ac:dyDescent="0.2">
      <c r="A15" s="285"/>
      <c r="B15" s="545" t="s">
        <v>44</v>
      </c>
      <c r="C15" s="545"/>
      <c r="D15" s="546">
        <f>BILL!D15</f>
        <v>0</v>
      </c>
      <c r="E15" s="546"/>
      <c r="F15" s="546"/>
      <c r="G15" s="546"/>
      <c r="H15" s="546"/>
      <c r="I15" s="546"/>
      <c r="J15" s="309"/>
      <c r="K15" s="305"/>
      <c r="L15" s="300"/>
      <c r="M15" s="305"/>
      <c r="N15" s="300"/>
      <c r="O15" s="300"/>
      <c r="P15" s="275"/>
      <c r="Q15" s="267"/>
    </row>
    <row r="16" spans="1:17" ht="15" x14ac:dyDescent="0.25">
      <c r="A16" s="286"/>
      <c r="B16" s="549" t="s">
        <v>39</v>
      </c>
      <c r="C16" s="549"/>
      <c r="D16" s="552">
        <f>BILL!D16</f>
        <v>0</v>
      </c>
      <c r="E16" s="552"/>
      <c r="F16" s="552"/>
      <c r="G16" s="552"/>
      <c r="H16" s="552"/>
      <c r="I16" s="552"/>
      <c r="J16" s="309"/>
      <c r="K16" s="305"/>
      <c r="L16" s="300"/>
      <c r="M16" s="305"/>
      <c r="N16" s="300"/>
      <c r="O16" s="300"/>
      <c r="P16" s="275"/>
      <c r="Q16" s="267"/>
    </row>
    <row r="17" spans="1:17" s="318" customFormat="1" ht="12" customHeight="1" x14ac:dyDescent="0.2">
      <c r="A17" s="554" t="s">
        <v>24</v>
      </c>
      <c r="B17" s="554" t="s">
        <v>68</v>
      </c>
      <c r="C17" s="556" t="s">
        <v>2</v>
      </c>
      <c r="D17" s="556"/>
      <c r="E17" s="554" t="s">
        <v>9</v>
      </c>
      <c r="F17" s="554" t="s">
        <v>23</v>
      </c>
      <c r="G17" s="556" t="s">
        <v>3</v>
      </c>
      <c r="H17" s="563" t="s">
        <v>94</v>
      </c>
      <c r="I17" s="556" t="s">
        <v>87</v>
      </c>
      <c r="J17" s="563" t="s">
        <v>7</v>
      </c>
      <c r="K17" s="553" t="s">
        <v>5</v>
      </c>
      <c r="L17" s="553"/>
      <c r="M17" s="553" t="s">
        <v>6</v>
      </c>
      <c r="N17" s="553"/>
      <c r="O17" s="554" t="s">
        <v>19</v>
      </c>
      <c r="P17" s="554"/>
      <c r="Q17" s="317"/>
    </row>
    <row r="18" spans="1:17" s="318" customFormat="1" ht="12" customHeight="1" x14ac:dyDescent="0.2">
      <c r="A18" s="555"/>
      <c r="B18" s="555"/>
      <c r="C18" s="557"/>
      <c r="D18" s="557"/>
      <c r="E18" s="555"/>
      <c r="F18" s="555"/>
      <c r="G18" s="557"/>
      <c r="H18" s="564"/>
      <c r="I18" s="557"/>
      <c r="J18" s="564"/>
      <c r="K18" s="319" t="s">
        <v>51</v>
      </c>
      <c r="L18" s="320" t="s">
        <v>8</v>
      </c>
      <c r="M18" s="319" t="s">
        <v>51</v>
      </c>
      <c r="N18" s="320" t="s">
        <v>8</v>
      </c>
      <c r="O18" s="555"/>
      <c r="P18" s="555"/>
      <c r="Q18" s="317"/>
    </row>
    <row r="19" spans="1:17" s="298" customFormat="1" ht="14.1" customHeight="1" x14ac:dyDescent="0.2">
      <c r="A19" s="321" t="str">
        <f>BILL!A19</f>
        <v/>
      </c>
      <c r="B19" s="321">
        <f>BILL!B19</f>
        <v>0</v>
      </c>
      <c r="C19" s="604">
        <f>BILL!C19</f>
        <v>0</v>
      </c>
      <c r="D19" s="605"/>
      <c r="E19" s="322">
        <f>BILL!E19</f>
        <v>0</v>
      </c>
      <c r="F19" s="323">
        <f>BILL!F19</f>
        <v>0</v>
      </c>
      <c r="G19" s="416">
        <f>BILL!G19</f>
        <v>0</v>
      </c>
      <c r="H19" s="325">
        <f>BILL!H19</f>
        <v>0</v>
      </c>
      <c r="I19" s="324">
        <f>BILL!I19</f>
        <v>0</v>
      </c>
      <c r="J19" s="325">
        <f>BILL!J19</f>
        <v>0</v>
      </c>
      <c r="K19" s="326">
        <f>BILL!K19</f>
        <v>0</v>
      </c>
      <c r="L19" s="325">
        <f>BILL!L19</f>
        <v>0</v>
      </c>
      <c r="M19" s="326">
        <f>BILL!M19</f>
        <v>0</v>
      </c>
      <c r="N19" s="325">
        <f>BILL!N19</f>
        <v>0</v>
      </c>
      <c r="O19" s="327">
        <f>BILL!O19</f>
        <v>0</v>
      </c>
      <c r="P19" s="296"/>
      <c r="Q19" s="297"/>
    </row>
    <row r="20" spans="1:17" s="295" customFormat="1" ht="14.1" customHeight="1" x14ac:dyDescent="0.2">
      <c r="A20" s="321" t="str">
        <f>BILL!A20</f>
        <v/>
      </c>
      <c r="B20" s="321">
        <f>BILL!B20</f>
        <v>0</v>
      </c>
      <c r="C20" s="606">
        <f>BILL!C20</f>
        <v>0</v>
      </c>
      <c r="D20" s="607"/>
      <c r="E20" s="322">
        <f>BILL!E20</f>
        <v>0</v>
      </c>
      <c r="F20" s="323">
        <f>BILL!F20</f>
        <v>0</v>
      </c>
      <c r="G20" s="416">
        <f>BILL!G20</f>
        <v>0</v>
      </c>
      <c r="H20" s="325">
        <f>BILL!H20</f>
        <v>0</v>
      </c>
      <c r="I20" s="324">
        <f>BILL!I20</f>
        <v>0</v>
      </c>
      <c r="J20" s="325">
        <f>BILL!J20</f>
        <v>0</v>
      </c>
      <c r="K20" s="326">
        <f>BILL!K20</f>
        <v>0</v>
      </c>
      <c r="L20" s="325">
        <f>BILL!L20</f>
        <v>0</v>
      </c>
      <c r="M20" s="326">
        <f>BILL!M20</f>
        <v>0</v>
      </c>
      <c r="N20" s="325">
        <f>BILL!N20</f>
        <v>0</v>
      </c>
      <c r="O20" s="328">
        <f>BILL!O20</f>
        <v>0</v>
      </c>
      <c r="P20" s="296"/>
      <c r="Q20" s="294"/>
    </row>
    <row r="21" spans="1:17" s="295" customFormat="1" ht="14.1" customHeight="1" x14ac:dyDescent="0.2">
      <c r="A21" s="321" t="str">
        <f>BILL!A21</f>
        <v/>
      </c>
      <c r="B21" s="321">
        <f>BILL!B21</f>
        <v>0</v>
      </c>
      <c r="C21" s="606">
        <f>BILL!C21</f>
        <v>0</v>
      </c>
      <c r="D21" s="607"/>
      <c r="E21" s="322">
        <f>BILL!E21</f>
        <v>0</v>
      </c>
      <c r="F21" s="323">
        <f>BILL!F21</f>
        <v>0</v>
      </c>
      <c r="G21" s="416">
        <f>BILL!G21</f>
        <v>0</v>
      </c>
      <c r="H21" s="325">
        <f>BILL!H21</f>
        <v>0</v>
      </c>
      <c r="I21" s="324">
        <f>BILL!I21</f>
        <v>0</v>
      </c>
      <c r="J21" s="325">
        <f>BILL!J21</f>
        <v>0</v>
      </c>
      <c r="K21" s="326">
        <f>BILL!K21</f>
        <v>0</v>
      </c>
      <c r="L21" s="325">
        <f>BILL!L21</f>
        <v>0</v>
      </c>
      <c r="M21" s="326">
        <f>BILL!M21</f>
        <v>0</v>
      </c>
      <c r="N21" s="325">
        <f>BILL!N21</f>
        <v>0</v>
      </c>
      <c r="O21" s="328">
        <f>BILL!O21</f>
        <v>0</v>
      </c>
      <c r="P21" s="296"/>
      <c r="Q21" s="294"/>
    </row>
    <row r="22" spans="1:17" s="295" customFormat="1" ht="14.1" customHeight="1" x14ac:dyDescent="0.2">
      <c r="A22" s="321" t="str">
        <f>BILL!A22</f>
        <v/>
      </c>
      <c r="B22" s="321">
        <f>BILL!B22</f>
        <v>0</v>
      </c>
      <c r="C22" s="606">
        <f>BILL!C22</f>
        <v>0</v>
      </c>
      <c r="D22" s="607"/>
      <c r="E22" s="322">
        <f>BILL!E22</f>
        <v>0</v>
      </c>
      <c r="F22" s="323">
        <f>BILL!F22</f>
        <v>0</v>
      </c>
      <c r="G22" s="416">
        <f>BILL!G22</f>
        <v>0</v>
      </c>
      <c r="H22" s="325">
        <f>BILL!H22</f>
        <v>0</v>
      </c>
      <c r="I22" s="324">
        <f>BILL!I22</f>
        <v>0</v>
      </c>
      <c r="J22" s="325">
        <f>BILL!J22</f>
        <v>0</v>
      </c>
      <c r="K22" s="326">
        <f>BILL!K22</f>
        <v>0</v>
      </c>
      <c r="L22" s="325">
        <f>BILL!L22</f>
        <v>0</v>
      </c>
      <c r="M22" s="326">
        <f>BILL!M22</f>
        <v>0</v>
      </c>
      <c r="N22" s="325">
        <f>BILL!N22</f>
        <v>0</v>
      </c>
      <c r="O22" s="328">
        <f>BILL!O22</f>
        <v>0</v>
      </c>
      <c r="P22" s="296"/>
      <c r="Q22" s="294"/>
    </row>
    <row r="23" spans="1:17" s="295" customFormat="1" ht="14.1" customHeight="1" x14ac:dyDescent="0.2">
      <c r="A23" s="321" t="str">
        <f>BILL!A23</f>
        <v/>
      </c>
      <c r="B23" s="321">
        <f>BILL!B23</f>
        <v>0</v>
      </c>
      <c r="C23" s="606">
        <f>BILL!C23</f>
        <v>0</v>
      </c>
      <c r="D23" s="607"/>
      <c r="E23" s="322">
        <f>BILL!E23</f>
        <v>0</v>
      </c>
      <c r="F23" s="323">
        <f>BILL!F23</f>
        <v>0</v>
      </c>
      <c r="G23" s="416">
        <f>BILL!G23</f>
        <v>0</v>
      </c>
      <c r="H23" s="325">
        <f>BILL!H23</f>
        <v>0</v>
      </c>
      <c r="I23" s="324">
        <f>BILL!I23</f>
        <v>0</v>
      </c>
      <c r="J23" s="325">
        <f>BILL!J23</f>
        <v>0</v>
      </c>
      <c r="K23" s="326">
        <f>BILL!K23</f>
        <v>0</v>
      </c>
      <c r="L23" s="325">
        <f>BILL!L23</f>
        <v>0</v>
      </c>
      <c r="M23" s="326">
        <f>BILL!M23</f>
        <v>0</v>
      </c>
      <c r="N23" s="325">
        <f>BILL!N23</f>
        <v>0</v>
      </c>
      <c r="O23" s="328">
        <f>BILL!O23</f>
        <v>0</v>
      </c>
      <c r="P23" s="296"/>
      <c r="Q23" s="294"/>
    </row>
    <row r="24" spans="1:17" s="295" customFormat="1" ht="14.1" customHeight="1" x14ac:dyDescent="0.2">
      <c r="A24" s="321" t="str">
        <f>BILL!A24</f>
        <v/>
      </c>
      <c r="B24" s="321">
        <f>BILL!B24</f>
        <v>0</v>
      </c>
      <c r="C24" s="606">
        <f>BILL!C24</f>
        <v>0</v>
      </c>
      <c r="D24" s="607"/>
      <c r="E24" s="322">
        <f>BILL!E24</f>
        <v>0</v>
      </c>
      <c r="F24" s="323">
        <f>BILL!F24</f>
        <v>0</v>
      </c>
      <c r="G24" s="416">
        <f>BILL!G24</f>
        <v>0</v>
      </c>
      <c r="H24" s="325">
        <f>BILL!H24</f>
        <v>0</v>
      </c>
      <c r="I24" s="324">
        <f>BILL!I24</f>
        <v>0</v>
      </c>
      <c r="J24" s="325">
        <f>BILL!J24</f>
        <v>0</v>
      </c>
      <c r="K24" s="326">
        <f>BILL!K24</f>
        <v>0</v>
      </c>
      <c r="L24" s="325">
        <f>BILL!L24</f>
        <v>0</v>
      </c>
      <c r="M24" s="326">
        <f>BILL!M24</f>
        <v>0</v>
      </c>
      <c r="N24" s="325">
        <f>BILL!N24</f>
        <v>0</v>
      </c>
      <c r="O24" s="328">
        <f>BILL!O24</f>
        <v>0</v>
      </c>
      <c r="P24" s="296"/>
      <c r="Q24" s="294"/>
    </row>
    <row r="25" spans="1:17" s="295" customFormat="1" ht="14.1" customHeight="1" x14ac:dyDescent="0.2">
      <c r="A25" s="321" t="str">
        <f>BILL!A25</f>
        <v/>
      </c>
      <c r="B25" s="321">
        <f>BILL!B25</f>
        <v>0</v>
      </c>
      <c r="C25" s="606">
        <f>BILL!C25</f>
        <v>0</v>
      </c>
      <c r="D25" s="607"/>
      <c r="E25" s="322">
        <f>BILL!E25</f>
        <v>0</v>
      </c>
      <c r="F25" s="323">
        <f>BILL!F25</f>
        <v>0</v>
      </c>
      <c r="G25" s="416">
        <f>BILL!G25</f>
        <v>0</v>
      </c>
      <c r="H25" s="325">
        <f>BILL!H25</f>
        <v>0</v>
      </c>
      <c r="I25" s="324">
        <f>BILL!I25</f>
        <v>0</v>
      </c>
      <c r="J25" s="325">
        <f>BILL!J25</f>
        <v>0</v>
      </c>
      <c r="K25" s="326">
        <f>BILL!K25</f>
        <v>0</v>
      </c>
      <c r="L25" s="325">
        <f>BILL!L25</f>
        <v>0</v>
      </c>
      <c r="M25" s="326">
        <f>BILL!M25</f>
        <v>0</v>
      </c>
      <c r="N25" s="325">
        <f>BILL!N25</f>
        <v>0</v>
      </c>
      <c r="O25" s="328">
        <f>BILL!O25</f>
        <v>0</v>
      </c>
      <c r="P25" s="296"/>
      <c r="Q25" s="294"/>
    </row>
    <row r="26" spans="1:17" s="295" customFormat="1" ht="14.1" customHeight="1" x14ac:dyDescent="0.2">
      <c r="A26" s="321" t="str">
        <f>BILL!A26</f>
        <v/>
      </c>
      <c r="B26" s="321">
        <f>BILL!B26</f>
        <v>0</v>
      </c>
      <c r="C26" s="606">
        <f>BILL!C26</f>
        <v>0</v>
      </c>
      <c r="D26" s="607"/>
      <c r="E26" s="322">
        <f>BILL!E26</f>
        <v>0</v>
      </c>
      <c r="F26" s="323">
        <f>BILL!F26</f>
        <v>0</v>
      </c>
      <c r="G26" s="416">
        <f>BILL!G26</f>
        <v>0</v>
      </c>
      <c r="H26" s="325">
        <f>BILL!H26</f>
        <v>0</v>
      </c>
      <c r="I26" s="324">
        <f>BILL!I26</f>
        <v>0</v>
      </c>
      <c r="J26" s="325">
        <f>BILL!J26</f>
        <v>0</v>
      </c>
      <c r="K26" s="326">
        <f>BILL!K26</f>
        <v>0</v>
      </c>
      <c r="L26" s="325">
        <f>BILL!L26</f>
        <v>0</v>
      </c>
      <c r="M26" s="326">
        <f>BILL!M26</f>
        <v>0</v>
      </c>
      <c r="N26" s="325">
        <f>BILL!N26</f>
        <v>0</v>
      </c>
      <c r="O26" s="328">
        <f>BILL!O26</f>
        <v>0</v>
      </c>
      <c r="P26" s="296"/>
      <c r="Q26" s="294"/>
    </row>
    <row r="27" spans="1:17" s="295" customFormat="1" ht="14.1" customHeight="1" x14ac:dyDescent="0.2">
      <c r="A27" s="321" t="str">
        <f>BILL!A27</f>
        <v/>
      </c>
      <c r="B27" s="321">
        <f>BILL!B27</f>
        <v>0</v>
      </c>
      <c r="C27" s="606">
        <f>BILL!C27</f>
        <v>0</v>
      </c>
      <c r="D27" s="607"/>
      <c r="E27" s="322">
        <f>BILL!E27</f>
        <v>0</v>
      </c>
      <c r="F27" s="323">
        <f>BILL!F27</f>
        <v>0</v>
      </c>
      <c r="G27" s="416">
        <f>BILL!G27</f>
        <v>0</v>
      </c>
      <c r="H27" s="325">
        <f>BILL!H27</f>
        <v>0</v>
      </c>
      <c r="I27" s="324">
        <f>BILL!I27</f>
        <v>0</v>
      </c>
      <c r="J27" s="325">
        <f>BILL!J27</f>
        <v>0</v>
      </c>
      <c r="K27" s="326">
        <f>BILL!K27</f>
        <v>0</v>
      </c>
      <c r="L27" s="325">
        <f>BILL!L27</f>
        <v>0</v>
      </c>
      <c r="M27" s="326">
        <f>BILL!M27</f>
        <v>0</v>
      </c>
      <c r="N27" s="325">
        <f>BILL!N27</f>
        <v>0</v>
      </c>
      <c r="O27" s="328">
        <f>BILL!O27</f>
        <v>0</v>
      </c>
      <c r="P27" s="296"/>
      <c r="Q27" s="294"/>
    </row>
    <row r="28" spans="1:17" s="295" customFormat="1" ht="14.1" customHeight="1" x14ac:dyDescent="0.2">
      <c r="A28" s="321" t="str">
        <f>BILL!A28</f>
        <v/>
      </c>
      <c r="B28" s="321">
        <f>BILL!B28</f>
        <v>0</v>
      </c>
      <c r="C28" s="606">
        <f>BILL!C28</f>
        <v>0</v>
      </c>
      <c r="D28" s="607"/>
      <c r="E28" s="322">
        <f>BILL!E28</f>
        <v>0</v>
      </c>
      <c r="F28" s="323">
        <f>BILL!F28</f>
        <v>0</v>
      </c>
      <c r="G28" s="416">
        <f>BILL!G28</f>
        <v>0</v>
      </c>
      <c r="H28" s="325">
        <f>BILL!H28</f>
        <v>0</v>
      </c>
      <c r="I28" s="324">
        <f>BILL!I28</f>
        <v>0</v>
      </c>
      <c r="J28" s="325">
        <f>BILL!J28</f>
        <v>0</v>
      </c>
      <c r="K28" s="326">
        <f>BILL!K28</f>
        <v>0</v>
      </c>
      <c r="L28" s="325">
        <f>BILL!L28</f>
        <v>0</v>
      </c>
      <c r="M28" s="326">
        <f>BILL!M28</f>
        <v>0</v>
      </c>
      <c r="N28" s="325">
        <f>BILL!N28</f>
        <v>0</v>
      </c>
      <c r="O28" s="328">
        <f>BILL!O28</f>
        <v>0</v>
      </c>
      <c r="P28" s="296"/>
      <c r="Q28" s="294"/>
    </row>
    <row r="29" spans="1:17" s="295" customFormat="1" ht="14.1" customHeight="1" x14ac:dyDescent="0.2">
      <c r="A29" s="321" t="str">
        <f>BILL!A29</f>
        <v/>
      </c>
      <c r="B29" s="321">
        <f>BILL!B29</f>
        <v>0</v>
      </c>
      <c r="C29" s="606">
        <f>BILL!C29</f>
        <v>0</v>
      </c>
      <c r="D29" s="607"/>
      <c r="E29" s="322">
        <f>BILL!E29</f>
        <v>0</v>
      </c>
      <c r="F29" s="323">
        <f>BILL!F29</f>
        <v>0</v>
      </c>
      <c r="G29" s="416">
        <f>BILL!G29</f>
        <v>0</v>
      </c>
      <c r="H29" s="325">
        <f>BILL!H29</f>
        <v>0</v>
      </c>
      <c r="I29" s="324">
        <f>BILL!I29</f>
        <v>0</v>
      </c>
      <c r="J29" s="325">
        <f>BILL!J29</f>
        <v>0</v>
      </c>
      <c r="K29" s="326">
        <f>BILL!K29</f>
        <v>0</v>
      </c>
      <c r="L29" s="325">
        <f>BILL!L29</f>
        <v>0</v>
      </c>
      <c r="M29" s="326">
        <f>BILL!M29</f>
        <v>0</v>
      </c>
      <c r="N29" s="325">
        <f>BILL!N29</f>
        <v>0</v>
      </c>
      <c r="O29" s="328">
        <f>BILL!O29</f>
        <v>0</v>
      </c>
      <c r="P29" s="296"/>
      <c r="Q29" s="294"/>
    </row>
    <row r="30" spans="1:17" s="295" customFormat="1" ht="14.1" customHeight="1" x14ac:dyDescent="0.2">
      <c r="A30" s="321" t="str">
        <f>BILL!A30</f>
        <v/>
      </c>
      <c r="B30" s="321">
        <f>BILL!B30</f>
        <v>0</v>
      </c>
      <c r="C30" s="606">
        <f>BILL!C30</f>
        <v>0</v>
      </c>
      <c r="D30" s="607"/>
      <c r="E30" s="322">
        <f>BILL!E30</f>
        <v>0</v>
      </c>
      <c r="F30" s="323">
        <f>BILL!F30</f>
        <v>0</v>
      </c>
      <c r="G30" s="416">
        <f>BILL!G30</f>
        <v>0</v>
      </c>
      <c r="H30" s="325">
        <f>BILL!H30</f>
        <v>0</v>
      </c>
      <c r="I30" s="324">
        <f>BILL!I30</f>
        <v>0</v>
      </c>
      <c r="J30" s="325">
        <f>BILL!J30</f>
        <v>0</v>
      </c>
      <c r="K30" s="326">
        <f>BILL!K30</f>
        <v>0</v>
      </c>
      <c r="L30" s="325">
        <f>BILL!L30</f>
        <v>0</v>
      </c>
      <c r="M30" s="326">
        <f>BILL!M30</f>
        <v>0</v>
      </c>
      <c r="N30" s="325">
        <f>BILL!N30</f>
        <v>0</v>
      </c>
      <c r="O30" s="328">
        <f>BILL!O30</f>
        <v>0</v>
      </c>
      <c r="P30" s="296"/>
      <c r="Q30" s="294"/>
    </row>
    <row r="31" spans="1:17" s="295" customFormat="1" ht="14.1" customHeight="1" x14ac:dyDescent="0.2">
      <c r="A31" s="321" t="str">
        <f>BILL!A31</f>
        <v/>
      </c>
      <c r="B31" s="321">
        <f>BILL!B31</f>
        <v>0</v>
      </c>
      <c r="C31" s="606">
        <f>BILL!C31</f>
        <v>0</v>
      </c>
      <c r="D31" s="607"/>
      <c r="E31" s="322">
        <f>BILL!E31</f>
        <v>0</v>
      </c>
      <c r="F31" s="323">
        <f>BILL!F31</f>
        <v>0</v>
      </c>
      <c r="G31" s="416">
        <f>BILL!G31</f>
        <v>0</v>
      </c>
      <c r="H31" s="325">
        <f>BILL!H31</f>
        <v>0</v>
      </c>
      <c r="I31" s="324">
        <f>BILL!I31</f>
        <v>0</v>
      </c>
      <c r="J31" s="325">
        <f>BILL!J31</f>
        <v>0</v>
      </c>
      <c r="K31" s="326">
        <f>BILL!K31</f>
        <v>0</v>
      </c>
      <c r="L31" s="325">
        <f>BILL!L31</f>
        <v>0</v>
      </c>
      <c r="M31" s="326">
        <f>BILL!M31</f>
        <v>0</v>
      </c>
      <c r="N31" s="325">
        <f>BILL!N31</f>
        <v>0</v>
      </c>
      <c r="O31" s="328">
        <f>BILL!O31</f>
        <v>0</v>
      </c>
      <c r="P31" s="296"/>
      <c r="Q31" s="294"/>
    </row>
    <row r="32" spans="1:17" s="295" customFormat="1" ht="14.1" customHeight="1" x14ac:dyDescent="0.2">
      <c r="A32" s="321" t="str">
        <f>BILL!A32</f>
        <v/>
      </c>
      <c r="B32" s="321">
        <f>BILL!B32</f>
        <v>0</v>
      </c>
      <c r="C32" s="606">
        <f>BILL!C32</f>
        <v>0</v>
      </c>
      <c r="D32" s="607"/>
      <c r="E32" s="322">
        <f>BILL!E32</f>
        <v>0</v>
      </c>
      <c r="F32" s="323">
        <f>BILL!F32</f>
        <v>0</v>
      </c>
      <c r="G32" s="416">
        <f>BILL!G32</f>
        <v>0</v>
      </c>
      <c r="H32" s="325">
        <f>BILL!H32</f>
        <v>0</v>
      </c>
      <c r="I32" s="324">
        <f>BILL!I32</f>
        <v>0</v>
      </c>
      <c r="J32" s="325">
        <f>BILL!J32</f>
        <v>0</v>
      </c>
      <c r="K32" s="326">
        <f>BILL!K32</f>
        <v>0</v>
      </c>
      <c r="L32" s="325">
        <f>BILL!L32</f>
        <v>0</v>
      </c>
      <c r="M32" s="326">
        <f>BILL!M32</f>
        <v>0</v>
      </c>
      <c r="N32" s="325">
        <f>BILL!N32</f>
        <v>0</v>
      </c>
      <c r="O32" s="328">
        <f>BILL!O32</f>
        <v>0</v>
      </c>
      <c r="P32" s="296"/>
      <c r="Q32" s="294"/>
    </row>
    <row r="33" spans="1:17" s="295" customFormat="1" ht="14.1" customHeight="1" x14ac:dyDescent="0.2">
      <c r="A33" s="321" t="str">
        <f>BILL!A33</f>
        <v/>
      </c>
      <c r="B33" s="321">
        <f>BILL!B33</f>
        <v>0</v>
      </c>
      <c r="C33" s="606">
        <f>BILL!C33</f>
        <v>0</v>
      </c>
      <c r="D33" s="607"/>
      <c r="E33" s="322">
        <f>BILL!E33</f>
        <v>0</v>
      </c>
      <c r="F33" s="323">
        <f>BILL!F33</f>
        <v>0</v>
      </c>
      <c r="G33" s="416">
        <f>BILL!G33</f>
        <v>0</v>
      </c>
      <c r="H33" s="325">
        <f>BILL!H33</f>
        <v>0</v>
      </c>
      <c r="I33" s="324">
        <f>BILL!I33</f>
        <v>0</v>
      </c>
      <c r="J33" s="325">
        <f>BILL!J33</f>
        <v>0</v>
      </c>
      <c r="K33" s="326">
        <f>BILL!K33</f>
        <v>0</v>
      </c>
      <c r="L33" s="325">
        <f>BILL!L33</f>
        <v>0</v>
      </c>
      <c r="M33" s="326">
        <f>BILL!M33</f>
        <v>0</v>
      </c>
      <c r="N33" s="325">
        <f>BILL!N33</f>
        <v>0</v>
      </c>
      <c r="O33" s="328">
        <f>BILL!O33</f>
        <v>0</v>
      </c>
      <c r="P33" s="296"/>
      <c r="Q33" s="294"/>
    </row>
    <row r="34" spans="1:17" s="295" customFormat="1" ht="14.1" customHeight="1" x14ac:dyDescent="0.2">
      <c r="A34" s="321" t="str">
        <f>BILL!A34</f>
        <v/>
      </c>
      <c r="B34" s="321">
        <f>BILL!B34</f>
        <v>0</v>
      </c>
      <c r="C34" s="606">
        <f>BILL!C34</f>
        <v>0</v>
      </c>
      <c r="D34" s="607"/>
      <c r="E34" s="322">
        <f>BILL!E34</f>
        <v>0</v>
      </c>
      <c r="F34" s="323">
        <f>BILL!F34</f>
        <v>0</v>
      </c>
      <c r="G34" s="416">
        <f>BILL!G34</f>
        <v>0</v>
      </c>
      <c r="H34" s="325">
        <f>BILL!H34</f>
        <v>0</v>
      </c>
      <c r="I34" s="324">
        <f>BILL!I34</f>
        <v>0</v>
      </c>
      <c r="J34" s="325">
        <f>BILL!J34</f>
        <v>0</v>
      </c>
      <c r="K34" s="326">
        <f>BILL!K34</f>
        <v>0</v>
      </c>
      <c r="L34" s="325">
        <f>BILL!L34</f>
        <v>0</v>
      </c>
      <c r="M34" s="326">
        <f>BILL!M34</f>
        <v>0</v>
      </c>
      <c r="N34" s="325">
        <f>BILL!N34</f>
        <v>0</v>
      </c>
      <c r="O34" s="328">
        <f>BILL!O34</f>
        <v>0</v>
      </c>
      <c r="P34" s="296"/>
      <c r="Q34" s="294"/>
    </row>
    <row r="35" spans="1:17" s="295" customFormat="1" ht="14.1" customHeight="1" x14ac:dyDescent="0.2">
      <c r="A35" s="321" t="str">
        <f>BILL!A35</f>
        <v/>
      </c>
      <c r="B35" s="321">
        <f>BILL!B35</f>
        <v>0</v>
      </c>
      <c r="C35" s="606">
        <f>BILL!C35</f>
        <v>0</v>
      </c>
      <c r="D35" s="607"/>
      <c r="E35" s="322">
        <f>BILL!E35</f>
        <v>0</v>
      </c>
      <c r="F35" s="323">
        <f>BILL!F35</f>
        <v>0</v>
      </c>
      <c r="G35" s="416">
        <f>BILL!G35</f>
        <v>0</v>
      </c>
      <c r="H35" s="325">
        <f>BILL!H35</f>
        <v>0</v>
      </c>
      <c r="I35" s="324">
        <f>BILL!I35</f>
        <v>0</v>
      </c>
      <c r="J35" s="325">
        <f>BILL!J35</f>
        <v>0</v>
      </c>
      <c r="K35" s="326">
        <f>BILL!K35</f>
        <v>0</v>
      </c>
      <c r="L35" s="325">
        <f>BILL!L35</f>
        <v>0</v>
      </c>
      <c r="M35" s="326">
        <f>BILL!M35</f>
        <v>0</v>
      </c>
      <c r="N35" s="325">
        <f>BILL!N35</f>
        <v>0</v>
      </c>
      <c r="O35" s="328">
        <f>BILL!O35</f>
        <v>0</v>
      </c>
      <c r="P35" s="296"/>
      <c r="Q35" s="294"/>
    </row>
    <row r="36" spans="1:17" s="295" customFormat="1" ht="14.1" customHeight="1" x14ac:dyDescent="0.2">
      <c r="A36" s="321" t="str">
        <f>BILL!A36</f>
        <v/>
      </c>
      <c r="B36" s="321">
        <f>BILL!B36</f>
        <v>0</v>
      </c>
      <c r="C36" s="606">
        <f>BILL!C36</f>
        <v>0</v>
      </c>
      <c r="D36" s="607"/>
      <c r="E36" s="322">
        <f>BILL!E36</f>
        <v>0</v>
      </c>
      <c r="F36" s="323">
        <f>BILL!F36</f>
        <v>0</v>
      </c>
      <c r="G36" s="416">
        <f>BILL!G36</f>
        <v>0</v>
      </c>
      <c r="H36" s="325">
        <f>BILL!H36</f>
        <v>0</v>
      </c>
      <c r="I36" s="324">
        <f>BILL!I36</f>
        <v>0</v>
      </c>
      <c r="J36" s="325">
        <f>BILL!J36</f>
        <v>0</v>
      </c>
      <c r="K36" s="326">
        <f>BILL!K36</f>
        <v>0</v>
      </c>
      <c r="L36" s="325">
        <f>BILL!L36</f>
        <v>0</v>
      </c>
      <c r="M36" s="326">
        <f>BILL!M36</f>
        <v>0</v>
      </c>
      <c r="N36" s="325">
        <f>BILL!N36</f>
        <v>0</v>
      </c>
      <c r="O36" s="328">
        <f>BILL!O36</f>
        <v>0</v>
      </c>
      <c r="P36" s="296"/>
      <c r="Q36" s="294"/>
    </row>
    <row r="37" spans="1:17" s="295" customFormat="1" ht="14.1" customHeight="1" x14ac:dyDescent="0.2">
      <c r="A37" s="321" t="str">
        <f>BILL!A37</f>
        <v/>
      </c>
      <c r="B37" s="321">
        <f>BILL!B37</f>
        <v>0</v>
      </c>
      <c r="C37" s="606">
        <f>BILL!C37</f>
        <v>0</v>
      </c>
      <c r="D37" s="607"/>
      <c r="E37" s="322">
        <f>BILL!E37</f>
        <v>0</v>
      </c>
      <c r="F37" s="323">
        <f>BILL!F37</f>
        <v>0</v>
      </c>
      <c r="G37" s="416">
        <f>BILL!G37</f>
        <v>0</v>
      </c>
      <c r="H37" s="325">
        <f>BILL!H37</f>
        <v>0</v>
      </c>
      <c r="I37" s="324">
        <f>BILL!I37</f>
        <v>0</v>
      </c>
      <c r="J37" s="325">
        <f>BILL!J37</f>
        <v>0</v>
      </c>
      <c r="K37" s="326">
        <f>BILL!K37</f>
        <v>0</v>
      </c>
      <c r="L37" s="325">
        <f>BILL!L37</f>
        <v>0</v>
      </c>
      <c r="M37" s="326">
        <f>BILL!M37</f>
        <v>0</v>
      </c>
      <c r="N37" s="325">
        <f>BILL!N37</f>
        <v>0</v>
      </c>
      <c r="O37" s="328">
        <f>BILL!O37</f>
        <v>0</v>
      </c>
      <c r="P37" s="296"/>
      <c r="Q37" s="294"/>
    </row>
    <row r="38" spans="1:17" s="295" customFormat="1" ht="14.1" customHeight="1" x14ac:dyDescent="0.2">
      <c r="A38" s="321" t="str">
        <f>BILL!A38</f>
        <v/>
      </c>
      <c r="B38" s="321">
        <f>BILL!B38</f>
        <v>0</v>
      </c>
      <c r="C38" s="606">
        <f>BILL!C38</f>
        <v>0</v>
      </c>
      <c r="D38" s="607"/>
      <c r="E38" s="322">
        <f>BILL!E38</f>
        <v>0</v>
      </c>
      <c r="F38" s="323">
        <f>BILL!F38</f>
        <v>0</v>
      </c>
      <c r="G38" s="416">
        <f>BILL!G38</f>
        <v>0</v>
      </c>
      <c r="H38" s="325">
        <f>BILL!H38</f>
        <v>0</v>
      </c>
      <c r="I38" s="324">
        <f>BILL!I38</f>
        <v>0</v>
      </c>
      <c r="J38" s="325">
        <f>BILL!J38</f>
        <v>0</v>
      </c>
      <c r="K38" s="326">
        <f>BILL!K38</f>
        <v>0</v>
      </c>
      <c r="L38" s="325">
        <f>BILL!L38</f>
        <v>0</v>
      </c>
      <c r="M38" s="326">
        <f>BILL!M38</f>
        <v>0</v>
      </c>
      <c r="N38" s="325">
        <f>BILL!N38</f>
        <v>0</v>
      </c>
      <c r="O38" s="328">
        <f>BILL!O38</f>
        <v>0</v>
      </c>
      <c r="P38" s="296"/>
      <c r="Q38" s="294"/>
    </row>
    <row r="39" spans="1:17" s="295" customFormat="1" ht="14.1" customHeight="1" x14ac:dyDescent="0.2">
      <c r="A39" s="321" t="str">
        <f>BILL!A39</f>
        <v/>
      </c>
      <c r="B39" s="321">
        <f>BILL!B39</f>
        <v>0</v>
      </c>
      <c r="C39" s="606">
        <f>BILL!C39</f>
        <v>0</v>
      </c>
      <c r="D39" s="607"/>
      <c r="E39" s="322">
        <f>BILL!E39</f>
        <v>0</v>
      </c>
      <c r="F39" s="323">
        <f>BILL!F39</f>
        <v>0</v>
      </c>
      <c r="G39" s="416">
        <f>BILL!G39</f>
        <v>0</v>
      </c>
      <c r="H39" s="325">
        <f>BILL!H39</f>
        <v>0</v>
      </c>
      <c r="I39" s="324">
        <f>BILL!I39</f>
        <v>0</v>
      </c>
      <c r="J39" s="325">
        <f>BILL!J39</f>
        <v>0</v>
      </c>
      <c r="K39" s="326">
        <f>BILL!K39</f>
        <v>0</v>
      </c>
      <c r="L39" s="325">
        <f>BILL!L39</f>
        <v>0</v>
      </c>
      <c r="M39" s="326">
        <f>BILL!M39</f>
        <v>0</v>
      </c>
      <c r="N39" s="325">
        <f>BILL!N39</f>
        <v>0</v>
      </c>
      <c r="O39" s="328">
        <f>BILL!O39</f>
        <v>0</v>
      </c>
      <c r="P39" s="296"/>
      <c r="Q39" s="294"/>
    </row>
    <row r="40" spans="1:17" s="295" customFormat="1" ht="14.1" customHeight="1" x14ac:dyDescent="0.2">
      <c r="A40" s="321" t="str">
        <f>BILL!A40</f>
        <v/>
      </c>
      <c r="B40" s="321">
        <f>BILL!B40</f>
        <v>0</v>
      </c>
      <c r="C40" s="606">
        <f>BILL!C40</f>
        <v>0</v>
      </c>
      <c r="D40" s="607"/>
      <c r="E40" s="322">
        <f>BILL!E40</f>
        <v>0</v>
      </c>
      <c r="F40" s="323">
        <f>BILL!F40</f>
        <v>0</v>
      </c>
      <c r="G40" s="416">
        <f>BILL!G40</f>
        <v>0</v>
      </c>
      <c r="H40" s="325">
        <f>BILL!H40</f>
        <v>0</v>
      </c>
      <c r="I40" s="324">
        <f>BILL!I40</f>
        <v>0</v>
      </c>
      <c r="J40" s="325">
        <f>BILL!J40</f>
        <v>0</v>
      </c>
      <c r="K40" s="326">
        <f>BILL!K40</f>
        <v>0</v>
      </c>
      <c r="L40" s="325">
        <f>BILL!L40</f>
        <v>0</v>
      </c>
      <c r="M40" s="326">
        <f>BILL!M40</f>
        <v>0</v>
      </c>
      <c r="N40" s="325">
        <f>BILL!N40</f>
        <v>0</v>
      </c>
      <c r="O40" s="328">
        <f>BILL!O40</f>
        <v>0</v>
      </c>
      <c r="P40" s="296"/>
      <c r="Q40" s="294"/>
    </row>
    <row r="41" spans="1:17" s="295" customFormat="1" ht="14.1" customHeight="1" x14ac:dyDescent="0.2">
      <c r="A41" s="321" t="str">
        <f>BILL!A41</f>
        <v/>
      </c>
      <c r="B41" s="321">
        <f>BILL!B41</f>
        <v>0</v>
      </c>
      <c r="C41" s="606">
        <f>BILL!C41</f>
        <v>0</v>
      </c>
      <c r="D41" s="607"/>
      <c r="E41" s="322">
        <f>BILL!E41</f>
        <v>0</v>
      </c>
      <c r="F41" s="323">
        <f>BILL!F41</f>
        <v>0</v>
      </c>
      <c r="G41" s="416">
        <f>BILL!G41</f>
        <v>0</v>
      </c>
      <c r="H41" s="325">
        <f>BILL!H41</f>
        <v>0</v>
      </c>
      <c r="I41" s="324">
        <f>BILL!I41</f>
        <v>0</v>
      </c>
      <c r="J41" s="325">
        <f>BILL!J41</f>
        <v>0</v>
      </c>
      <c r="K41" s="326">
        <f>BILL!K41</f>
        <v>0</v>
      </c>
      <c r="L41" s="325">
        <f>BILL!L41</f>
        <v>0</v>
      </c>
      <c r="M41" s="326">
        <f>BILL!M41</f>
        <v>0</v>
      </c>
      <c r="N41" s="325">
        <f>BILL!N41</f>
        <v>0</v>
      </c>
      <c r="O41" s="328">
        <f>BILL!O41</f>
        <v>0</v>
      </c>
      <c r="P41" s="296"/>
      <c r="Q41" s="294"/>
    </row>
    <row r="42" spans="1:17" s="295" customFormat="1" ht="14.1" customHeight="1" x14ac:dyDescent="0.2">
      <c r="A42" s="321" t="str">
        <f>BILL!A42</f>
        <v/>
      </c>
      <c r="B42" s="321">
        <f>BILL!B42</f>
        <v>0</v>
      </c>
      <c r="C42" s="606">
        <f>BILL!C42</f>
        <v>0</v>
      </c>
      <c r="D42" s="607"/>
      <c r="E42" s="322">
        <f>BILL!E42</f>
        <v>0</v>
      </c>
      <c r="F42" s="323">
        <f>BILL!F42</f>
        <v>0</v>
      </c>
      <c r="G42" s="416">
        <f>BILL!G42</f>
        <v>0</v>
      </c>
      <c r="H42" s="325">
        <f>BILL!H42</f>
        <v>0</v>
      </c>
      <c r="I42" s="324">
        <f>BILL!I42</f>
        <v>0</v>
      </c>
      <c r="J42" s="325">
        <f>BILL!J42</f>
        <v>0</v>
      </c>
      <c r="K42" s="326">
        <f>BILL!K42</f>
        <v>0</v>
      </c>
      <c r="L42" s="325">
        <f>BILL!L42</f>
        <v>0</v>
      </c>
      <c r="M42" s="326">
        <f>BILL!M42</f>
        <v>0</v>
      </c>
      <c r="N42" s="325">
        <f>BILL!N42</f>
        <v>0</v>
      </c>
      <c r="O42" s="328">
        <f>BILL!O42</f>
        <v>0</v>
      </c>
      <c r="P42" s="296"/>
      <c r="Q42" s="294"/>
    </row>
    <row r="43" spans="1:17" s="295" customFormat="1" ht="14.1" customHeight="1" x14ac:dyDescent="0.2">
      <c r="A43" s="321" t="str">
        <f>BILL!A43</f>
        <v/>
      </c>
      <c r="B43" s="321">
        <f>BILL!B43</f>
        <v>0</v>
      </c>
      <c r="C43" s="606">
        <f>BILL!C43</f>
        <v>0</v>
      </c>
      <c r="D43" s="607"/>
      <c r="E43" s="322">
        <f>BILL!E43</f>
        <v>0</v>
      </c>
      <c r="F43" s="323">
        <f>BILL!F43</f>
        <v>0</v>
      </c>
      <c r="G43" s="416">
        <f>BILL!G43</f>
        <v>0</v>
      </c>
      <c r="H43" s="325">
        <f>BILL!H43</f>
        <v>0</v>
      </c>
      <c r="I43" s="324">
        <f>BILL!I43</f>
        <v>0</v>
      </c>
      <c r="J43" s="325">
        <f>BILL!J43</f>
        <v>0</v>
      </c>
      <c r="K43" s="326">
        <f>BILL!K43</f>
        <v>0</v>
      </c>
      <c r="L43" s="325">
        <f>BILL!L43</f>
        <v>0</v>
      </c>
      <c r="M43" s="326">
        <f>BILL!M43</f>
        <v>0</v>
      </c>
      <c r="N43" s="325">
        <f>BILL!N43</f>
        <v>0</v>
      </c>
      <c r="O43" s="328">
        <f>BILL!O43</f>
        <v>0</v>
      </c>
      <c r="P43" s="296"/>
      <c r="Q43" s="294"/>
    </row>
    <row r="44" spans="1:17" ht="12" customHeight="1" x14ac:dyDescent="0.2">
      <c r="A44" s="288"/>
      <c r="B44" s="292"/>
      <c r="C44" s="565"/>
      <c r="D44" s="565"/>
      <c r="E44" s="293"/>
      <c r="F44" s="289"/>
      <c r="G44" s="290"/>
      <c r="H44" s="301"/>
      <c r="I44" s="290"/>
      <c r="J44" s="301"/>
      <c r="K44" s="291"/>
      <c r="L44" s="301"/>
      <c r="M44" s="291"/>
      <c r="N44" s="301"/>
      <c r="O44" s="316"/>
      <c r="P44" s="287"/>
      <c r="Q44" s="267"/>
    </row>
    <row r="45" spans="1:17" s="343" customFormat="1" ht="12.75" customHeight="1" x14ac:dyDescent="0.2">
      <c r="A45" s="566" t="s">
        <v>25</v>
      </c>
      <c r="B45" s="567"/>
      <c r="C45" s="334">
        <f>BILL!C45</f>
        <v>0</v>
      </c>
      <c r="D45" s="568" t="s">
        <v>54</v>
      </c>
      <c r="E45" s="568"/>
      <c r="F45" s="569">
        <f>BILL!F45</f>
        <v>0</v>
      </c>
      <c r="G45" s="569"/>
      <c r="H45" s="335"/>
      <c r="I45" s="336"/>
      <c r="J45" s="337"/>
      <c r="K45" s="338"/>
      <c r="L45" s="339"/>
      <c r="M45" s="340"/>
      <c r="N45" s="339"/>
      <c r="O45" s="339"/>
      <c r="P45" s="341"/>
      <c r="Q45" s="342"/>
    </row>
    <row r="46" spans="1:17" s="343" customFormat="1" ht="7.5" customHeight="1" x14ac:dyDescent="0.2">
      <c r="A46" s="344"/>
      <c r="B46" s="381"/>
      <c r="C46" s="381"/>
      <c r="D46" s="382"/>
      <c r="E46" s="608" t="s">
        <v>165</v>
      </c>
      <c r="F46" s="610" t="s">
        <v>107</v>
      </c>
      <c r="G46" s="610"/>
      <c r="H46" s="612" t="s">
        <v>167</v>
      </c>
      <c r="I46" s="612"/>
      <c r="J46" s="614" t="s">
        <v>168</v>
      </c>
      <c r="K46" s="578" t="s">
        <v>102</v>
      </c>
      <c r="L46" s="579"/>
      <c r="M46" s="579"/>
      <c r="N46" s="582">
        <f>BILL!N46</f>
        <v>0</v>
      </c>
      <c r="O46" s="582"/>
      <c r="P46" s="345"/>
      <c r="Q46" s="342"/>
    </row>
    <row r="47" spans="1:17" s="343" customFormat="1" ht="9" customHeight="1" x14ac:dyDescent="0.2">
      <c r="A47" s="344"/>
      <c r="B47" s="542" t="s">
        <v>95</v>
      </c>
      <c r="C47" s="542"/>
      <c r="D47" s="583" t="str">
        <f>BILL!D47</f>
        <v>BankXXXXX</v>
      </c>
      <c r="E47" s="609"/>
      <c r="F47" s="611"/>
      <c r="G47" s="611"/>
      <c r="H47" s="613"/>
      <c r="I47" s="613"/>
      <c r="J47" s="615"/>
      <c r="K47" s="580"/>
      <c r="L47" s="581"/>
      <c r="M47" s="581"/>
      <c r="N47" s="582"/>
      <c r="O47" s="582"/>
      <c r="P47" s="345"/>
      <c r="Q47" s="342"/>
    </row>
    <row r="48" spans="1:17" s="343" customFormat="1" ht="6.75" customHeight="1" x14ac:dyDescent="0.2">
      <c r="A48" s="344"/>
      <c r="B48" s="542"/>
      <c r="C48" s="542"/>
      <c r="D48" s="583"/>
      <c r="E48" s="616" t="s">
        <v>170</v>
      </c>
      <c r="F48" s="618">
        <f>BILL!F48</f>
        <v>0</v>
      </c>
      <c r="G48" s="618"/>
      <c r="H48" s="618">
        <f>BILL!H48</f>
        <v>0</v>
      </c>
      <c r="I48" s="618"/>
      <c r="J48" s="620">
        <f>BILL!J48</f>
        <v>0</v>
      </c>
      <c r="K48" s="580"/>
      <c r="L48" s="581"/>
      <c r="M48" s="581"/>
      <c r="N48" s="582"/>
      <c r="O48" s="582"/>
      <c r="P48" s="345"/>
      <c r="Q48" s="342"/>
    </row>
    <row r="49" spans="1:17" s="343" customFormat="1" ht="7.5" customHeight="1" x14ac:dyDescent="0.2">
      <c r="A49" s="344"/>
      <c r="B49" s="589" t="s">
        <v>96</v>
      </c>
      <c r="C49" s="589"/>
      <c r="D49" s="590" t="str">
        <f>BILL!D49</f>
        <v>Firm Name</v>
      </c>
      <c r="E49" s="617"/>
      <c r="F49" s="619"/>
      <c r="G49" s="619"/>
      <c r="H49" s="619"/>
      <c r="I49" s="619"/>
      <c r="J49" s="621"/>
      <c r="K49" s="580" t="s">
        <v>101</v>
      </c>
      <c r="L49" s="581"/>
      <c r="M49" s="581"/>
      <c r="N49" s="582">
        <f>BILL!N49</f>
        <v>0</v>
      </c>
      <c r="O49" s="582"/>
      <c r="P49" s="345"/>
      <c r="Q49" s="342"/>
    </row>
    <row r="50" spans="1:17" s="343" customFormat="1" ht="6" customHeight="1" x14ac:dyDescent="0.2">
      <c r="A50" s="344"/>
      <c r="B50" s="589"/>
      <c r="C50" s="589"/>
      <c r="D50" s="590"/>
      <c r="E50" s="622" t="s">
        <v>162</v>
      </c>
      <c r="F50" s="619">
        <f>BILL!F50</f>
        <v>0</v>
      </c>
      <c r="G50" s="619"/>
      <c r="H50" s="619">
        <f>BILL!H50</f>
        <v>0</v>
      </c>
      <c r="I50" s="619"/>
      <c r="J50" s="621">
        <f>BILL!J50</f>
        <v>0</v>
      </c>
      <c r="K50" s="580"/>
      <c r="L50" s="581"/>
      <c r="M50" s="581"/>
      <c r="N50" s="582"/>
      <c r="O50" s="582"/>
      <c r="P50" s="345"/>
      <c r="Q50" s="342"/>
    </row>
    <row r="51" spans="1:17" s="343" customFormat="1" ht="6.75" customHeight="1" x14ac:dyDescent="0.2">
      <c r="A51" s="344"/>
      <c r="B51" s="589" t="s">
        <v>98</v>
      </c>
      <c r="C51" s="589"/>
      <c r="D51" s="591" t="str">
        <f>BILL!D51</f>
        <v>XXXXXXXXXXXX</v>
      </c>
      <c r="E51" s="617"/>
      <c r="F51" s="619"/>
      <c r="G51" s="619"/>
      <c r="H51" s="619"/>
      <c r="I51" s="619"/>
      <c r="J51" s="621"/>
      <c r="K51" s="580"/>
      <c r="L51" s="581"/>
      <c r="M51" s="581"/>
      <c r="N51" s="582"/>
      <c r="O51" s="582"/>
      <c r="P51" s="345"/>
      <c r="Q51" s="342"/>
    </row>
    <row r="52" spans="1:17" s="343" customFormat="1" ht="6" customHeight="1" x14ac:dyDescent="0.2">
      <c r="A52" s="344"/>
      <c r="B52" s="589"/>
      <c r="C52" s="589"/>
      <c r="D52" s="591"/>
      <c r="E52" s="622" t="s">
        <v>163</v>
      </c>
      <c r="F52" s="619">
        <f>BILL!F52</f>
        <v>0</v>
      </c>
      <c r="G52" s="619"/>
      <c r="H52" s="619">
        <f>BILL!H52</f>
        <v>0</v>
      </c>
      <c r="I52" s="619"/>
      <c r="J52" s="621">
        <f>BILL!J52</f>
        <v>0</v>
      </c>
      <c r="K52" s="580" t="s">
        <v>100</v>
      </c>
      <c r="L52" s="581"/>
      <c r="M52" s="581"/>
      <c r="N52" s="582">
        <f>BILL!N52</f>
        <v>0</v>
      </c>
      <c r="O52" s="582"/>
      <c r="P52" s="345"/>
      <c r="Q52" s="342"/>
    </row>
    <row r="53" spans="1:17" s="343" customFormat="1" ht="6.75" customHeight="1" x14ac:dyDescent="0.2">
      <c r="A53" s="344"/>
      <c r="B53" s="589" t="s">
        <v>97</v>
      </c>
      <c r="C53" s="589"/>
      <c r="D53" s="590" t="str">
        <f>BILL!D53</f>
        <v>IFSCXXXXXX</v>
      </c>
      <c r="E53" s="617"/>
      <c r="F53" s="619"/>
      <c r="G53" s="619"/>
      <c r="H53" s="619"/>
      <c r="I53" s="619"/>
      <c r="J53" s="621"/>
      <c r="K53" s="580"/>
      <c r="L53" s="581"/>
      <c r="M53" s="581"/>
      <c r="N53" s="582"/>
      <c r="O53" s="582"/>
      <c r="P53" s="345"/>
      <c r="Q53" s="342"/>
    </row>
    <row r="54" spans="1:17" s="343" customFormat="1" ht="6" customHeight="1" x14ac:dyDescent="0.2">
      <c r="A54" s="344"/>
      <c r="B54" s="589"/>
      <c r="C54" s="589"/>
      <c r="D54" s="590"/>
      <c r="E54" s="622" t="s">
        <v>164</v>
      </c>
      <c r="F54" s="619">
        <f>BILL!F54</f>
        <v>0</v>
      </c>
      <c r="G54" s="619"/>
      <c r="H54" s="619">
        <f>BILL!H54</f>
        <v>0</v>
      </c>
      <c r="I54" s="619"/>
      <c r="J54" s="621">
        <f>BILL!J54</f>
        <v>0</v>
      </c>
      <c r="K54" s="580"/>
      <c r="L54" s="581"/>
      <c r="M54" s="581"/>
      <c r="N54" s="582"/>
      <c r="O54" s="582"/>
      <c r="P54" s="345"/>
      <c r="Q54" s="342"/>
    </row>
    <row r="55" spans="1:17" s="343" customFormat="1" ht="6" customHeight="1" x14ac:dyDescent="0.2">
      <c r="A55" s="344"/>
      <c r="B55" s="589" t="s">
        <v>99</v>
      </c>
      <c r="C55" s="589"/>
      <c r="D55" s="590" t="str">
        <f>BILL!D55</f>
        <v>BranchXXXX</v>
      </c>
      <c r="E55" s="617"/>
      <c r="F55" s="619"/>
      <c r="G55" s="619"/>
      <c r="H55" s="619"/>
      <c r="I55" s="619"/>
      <c r="J55" s="621"/>
      <c r="K55" s="580" t="s">
        <v>91</v>
      </c>
      <c r="L55" s="581"/>
      <c r="M55" s="581"/>
      <c r="N55" s="582">
        <f>BILL!N55</f>
        <v>0</v>
      </c>
      <c r="O55" s="582"/>
      <c r="P55" s="345"/>
      <c r="Q55" s="342"/>
    </row>
    <row r="56" spans="1:17" s="343" customFormat="1" ht="6.75" customHeight="1" x14ac:dyDescent="0.2">
      <c r="A56" s="344"/>
      <c r="B56" s="589"/>
      <c r="C56" s="589"/>
      <c r="D56" s="590"/>
      <c r="E56" s="385"/>
      <c r="F56" s="389"/>
      <c r="G56" s="390"/>
      <c r="H56" s="393"/>
      <c r="I56" s="390"/>
      <c r="J56" s="386"/>
      <c r="K56" s="580"/>
      <c r="L56" s="581"/>
      <c r="M56" s="581"/>
      <c r="N56" s="582"/>
      <c r="O56" s="582"/>
      <c r="P56" s="345"/>
      <c r="Q56" s="342"/>
    </row>
    <row r="57" spans="1:17" s="343" customFormat="1" ht="9.75" customHeight="1" x14ac:dyDescent="0.2">
      <c r="A57" s="344"/>
      <c r="B57" s="597"/>
      <c r="C57" s="597"/>
      <c r="D57" s="346"/>
      <c r="E57" s="387"/>
      <c r="F57" s="391"/>
      <c r="G57" s="392"/>
      <c r="H57" s="394"/>
      <c r="I57" s="392"/>
      <c r="J57" s="388"/>
      <c r="K57" s="594"/>
      <c r="L57" s="595"/>
      <c r="M57" s="595"/>
      <c r="N57" s="582"/>
      <c r="O57" s="582"/>
      <c r="P57" s="347"/>
      <c r="Q57" s="342"/>
    </row>
    <row r="58" spans="1:17" s="350" customFormat="1" ht="12" customHeight="1" x14ac:dyDescent="0.2">
      <c r="A58" s="348"/>
      <c r="B58" s="598" t="s">
        <v>40</v>
      </c>
      <c r="C58" s="598"/>
      <c r="D58" s="567" t="str">
        <f>BILL!D58</f>
        <v/>
      </c>
      <c r="E58" s="567"/>
      <c r="F58" s="567"/>
      <c r="G58" s="567"/>
      <c r="H58" s="567"/>
      <c r="I58" s="567"/>
      <c r="J58" s="567"/>
      <c r="K58" s="567"/>
      <c r="L58" s="567"/>
      <c r="M58" s="567"/>
      <c r="N58" s="567"/>
      <c r="O58" s="567"/>
      <c r="P58" s="599"/>
      <c r="Q58" s="349"/>
    </row>
    <row r="59" spans="1:17" s="343" customFormat="1" ht="3.75" customHeight="1" x14ac:dyDescent="0.2">
      <c r="A59" s="351"/>
      <c r="B59" s="352"/>
      <c r="C59" s="353"/>
      <c r="D59" s="353"/>
      <c r="E59" s="353"/>
      <c r="F59" s="570" t="s">
        <v>93</v>
      </c>
      <c r="G59" s="572"/>
      <c r="H59" s="572"/>
      <c r="I59" s="572"/>
      <c r="J59" s="600"/>
      <c r="K59" s="570" t="s">
        <v>42</v>
      </c>
      <c r="L59" s="572"/>
      <c r="M59" s="572"/>
      <c r="N59" s="572"/>
      <c r="O59" s="572"/>
      <c r="P59" s="354"/>
      <c r="Q59" s="342"/>
    </row>
    <row r="60" spans="1:17" s="343" customFormat="1" ht="11.25" customHeight="1" x14ac:dyDescent="0.2">
      <c r="A60" s="355"/>
      <c r="F60" s="571"/>
      <c r="G60" s="573"/>
      <c r="H60" s="573"/>
      <c r="I60" s="573"/>
      <c r="J60" s="601"/>
      <c r="K60" s="571"/>
      <c r="L60" s="573"/>
      <c r="M60" s="573"/>
      <c r="N60" s="573"/>
      <c r="O60" s="573"/>
      <c r="P60" s="356"/>
      <c r="Q60" s="342"/>
    </row>
    <row r="61" spans="1:17" s="343" customFormat="1" ht="11.25" customHeight="1" x14ac:dyDescent="0.2">
      <c r="A61" s="355"/>
      <c r="B61" s="592" t="s">
        <v>48</v>
      </c>
      <c r="C61" s="592"/>
      <c r="D61" s="592"/>
      <c r="E61" s="592"/>
      <c r="F61" s="357"/>
      <c r="G61" s="358"/>
      <c r="H61" s="359"/>
      <c r="I61" s="342"/>
      <c r="J61" s="360"/>
      <c r="K61" s="361"/>
      <c r="L61" s="359"/>
      <c r="M61" s="362"/>
      <c r="N61" s="359"/>
      <c r="O61" s="359"/>
      <c r="P61" s="363"/>
      <c r="Q61" s="342"/>
    </row>
    <row r="62" spans="1:17" s="343" customFormat="1" ht="11.25" customHeight="1" x14ac:dyDescent="0.2">
      <c r="A62" s="355" t="s">
        <v>50</v>
      </c>
      <c r="B62" s="583" t="s">
        <v>49</v>
      </c>
      <c r="C62" s="583"/>
      <c r="D62" s="583"/>
      <c r="E62" s="583"/>
      <c r="F62" s="357"/>
      <c r="G62" s="358"/>
      <c r="H62" s="359"/>
      <c r="I62" s="342"/>
      <c r="J62" s="360"/>
      <c r="K62" s="361"/>
      <c r="L62" s="359"/>
      <c r="M62" s="362"/>
      <c r="N62" s="359"/>
      <c r="O62" s="359"/>
      <c r="P62" s="364"/>
      <c r="Q62" s="342"/>
    </row>
    <row r="63" spans="1:17" s="343" customFormat="1" ht="11.25" customHeight="1" x14ac:dyDescent="0.2">
      <c r="A63" s="355"/>
      <c r="B63" s="583" t="s">
        <v>171</v>
      </c>
      <c r="C63" s="583"/>
      <c r="D63" s="583"/>
      <c r="E63" s="583"/>
      <c r="F63" s="357"/>
      <c r="G63" s="358"/>
      <c r="H63" s="365"/>
      <c r="I63" s="317"/>
      <c r="J63" s="366"/>
      <c r="K63" s="361"/>
      <c r="L63" s="359"/>
      <c r="M63" s="362"/>
      <c r="N63" s="359"/>
      <c r="O63" s="359"/>
      <c r="P63" s="367"/>
      <c r="Q63" s="342"/>
    </row>
    <row r="64" spans="1:17" s="343" customFormat="1" ht="11.25" customHeight="1" x14ac:dyDescent="0.2">
      <c r="A64" s="355"/>
      <c r="B64" s="583" t="s">
        <v>172</v>
      </c>
      <c r="C64" s="583"/>
      <c r="D64" s="583"/>
      <c r="E64" s="583"/>
      <c r="F64" s="357"/>
      <c r="G64" s="358"/>
      <c r="H64" s="359"/>
      <c r="I64" s="342"/>
      <c r="J64" s="368"/>
      <c r="K64" s="369"/>
      <c r="L64" s="370"/>
      <c r="M64" s="371"/>
      <c r="N64" s="370"/>
      <c r="O64" s="370"/>
      <c r="P64" s="372"/>
      <c r="Q64" s="342"/>
    </row>
    <row r="65" spans="1:17" s="343" customFormat="1" ht="11.25" customHeight="1" x14ac:dyDescent="0.2">
      <c r="A65" s="373"/>
      <c r="B65" s="583" t="s">
        <v>52</v>
      </c>
      <c r="C65" s="583"/>
      <c r="D65" s="583"/>
      <c r="E65" s="583"/>
      <c r="F65" s="373"/>
      <c r="G65" s="342"/>
      <c r="H65" s="359"/>
      <c r="I65" s="342"/>
      <c r="J65" s="368"/>
      <c r="K65" s="369"/>
      <c r="L65" s="370"/>
      <c r="M65" s="371"/>
      <c r="N65" s="370"/>
      <c r="O65" s="370"/>
      <c r="P65" s="363"/>
      <c r="Q65" s="342"/>
    </row>
    <row r="66" spans="1:17" s="343" customFormat="1" ht="11.25" customHeight="1" x14ac:dyDescent="0.2">
      <c r="A66" s="373"/>
      <c r="B66" s="353"/>
      <c r="C66" s="353"/>
      <c r="D66" s="342"/>
      <c r="E66" s="353"/>
      <c r="F66" s="373"/>
      <c r="G66" s="342"/>
      <c r="H66" s="359"/>
      <c r="I66" s="342"/>
      <c r="J66" s="360"/>
      <c r="K66" s="361"/>
      <c r="L66" s="359"/>
      <c r="M66" s="362"/>
      <c r="N66" s="359"/>
      <c r="O66" s="359"/>
      <c r="P66" s="363"/>
      <c r="Q66" s="342"/>
    </row>
    <row r="67" spans="1:17" s="343" customFormat="1" ht="12.75" customHeight="1" x14ac:dyDescent="0.2">
      <c r="A67" s="374"/>
      <c r="B67" s="375"/>
      <c r="C67" s="375"/>
      <c r="D67" s="376"/>
      <c r="E67" s="375"/>
      <c r="F67" s="378"/>
      <c r="G67" s="379"/>
      <c r="H67" s="339"/>
      <c r="I67" s="593" t="s">
        <v>41</v>
      </c>
      <c r="J67" s="593"/>
      <c r="K67" s="593"/>
      <c r="L67" s="593"/>
      <c r="M67" s="593"/>
      <c r="N67" s="380"/>
      <c r="O67" s="380"/>
      <c r="P67" s="377"/>
      <c r="Q67" s="342"/>
    </row>
    <row r="68" spans="1:17" ht="9.75" customHeight="1" x14ac:dyDescent="0.2">
      <c r="A68" s="267"/>
      <c r="B68" s="271"/>
      <c r="C68" s="271"/>
      <c r="D68" s="267"/>
      <c r="E68" s="271"/>
      <c r="F68" s="267"/>
      <c r="G68" s="267"/>
      <c r="H68" s="302"/>
      <c r="I68" s="267"/>
      <c r="P68" s="267"/>
      <c r="Q68" s="267"/>
    </row>
    <row r="69" spans="1:17" ht="9.75" customHeight="1" x14ac:dyDescent="0.2">
      <c r="B69" s="269"/>
      <c r="C69" s="269"/>
      <c r="E69" s="269"/>
      <c r="H69" s="269"/>
      <c r="J69" s="269"/>
      <c r="K69" s="269"/>
      <c r="L69" s="269"/>
      <c r="M69" s="269"/>
      <c r="N69" s="269"/>
      <c r="O69" s="269"/>
    </row>
    <row r="70" spans="1:17" ht="9.75" customHeight="1" x14ac:dyDescent="0.2">
      <c r="B70" s="269"/>
      <c r="C70" s="269"/>
      <c r="E70" s="269"/>
      <c r="H70" s="269"/>
      <c r="J70" s="269"/>
      <c r="K70" s="269"/>
      <c r="L70" s="269"/>
      <c r="M70" s="269"/>
      <c r="N70" s="269"/>
      <c r="O70" s="269"/>
    </row>
    <row r="71" spans="1:17" ht="9.75" customHeight="1" x14ac:dyDescent="0.2">
      <c r="B71" s="269"/>
      <c r="C71" s="269"/>
      <c r="E71" s="269"/>
      <c r="H71" s="269"/>
      <c r="J71" s="269"/>
      <c r="K71" s="269"/>
      <c r="L71" s="269"/>
      <c r="M71" s="269"/>
      <c r="N71" s="269"/>
      <c r="O71" s="269"/>
    </row>
    <row r="72" spans="1:17" ht="9.75" customHeight="1" x14ac:dyDescent="0.2">
      <c r="B72" s="269"/>
      <c r="C72" s="269"/>
      <c r="E72" s="269"/>
      <c r="H72" s="269"/>
      <c r="J72" s="269"/>
      <c r="K72" s="269"/>
      <c r="L72" s="269"/>
      <c r="M72" s="269"/>
      <c r="N72" s="269"/>
      <c r="O72" s="269"/>
    </row>
    <row r="73" spans="1:17" ht="9.75" customHeight="1" x14ac:dyDescent="0.2">
      <c r="B73" s="269"/>
      <c r="C73" s="269"/>
      <c r="E73" s="269"/>
      <c r="H73" s="269"/>
      <c r="J73" s="269"/>
      <c r="K73" s="269"/>
      <c r="L73" s="269"/>
      <c r="M73" s="269"/>
      <c r="N73" s="269"/>
      <c r="O73" s="269"/>
    </row>
    <row r="74" spans="1:17" ht="9.75" customHeight="1" x14ac:dyDescent="0.2">
      <c r="B74" s="269"/>
      <c r="C74" s="269"/>
      <c r="E74" s="269"/>
      <c r="H74" s="269"/>
      <c r="J74" s="269"/>
      <c r="K74" s="269"/>
      <c r="L74" s="269"/>
      <c r="M74" s="269"/>
      <c r="N74" s="269"/>
      <c r="O74" s="269"/>
    </row>
    <row r="75" spans="1:17" ht="9.75" customHeight="1" x14ac:dyDescent="0.2">
      <c r="B75" s="269"/>
      <c r="C75" s="269"/>
      <c r="E75" s="269"/>
      <c r="H75" s="269"/>
      <c r="J75" s="269"/>
      <c r="K75" s="269"/>
      <c r="L75" s="269"/>
      <c r="M75" s="269"/>
      <c r="N75" s="269"/>
      <c r="O75" s="269"/>
    </row>
    <row r="76" spans="1:17" ht="9.75" customHeight="1" x14ac:dyDescent="0.2">
      <c r="B76" s="269"/>
      <c r="C76" s="269"/>
      <c r="E76" s="269"/>
      <c r="H76" s="269"/>
      <c r="J76" s="269"/>
      <c r="K76" s="269"/>
      <c r="L76" s="269"/>
      <c r="M76" s="269"/>
      <c r="N76" s="269"/>
      <c r="O76" s="269"/>
    </row>
    <row r="77" spans="1:17" ht="9.75" customHeight="1" x14ac:dyDescent="0.2">
      <c r="B77" s="269"/>
      <c r="C77" s="269"/>
      <c r="E77" s="269"/>
      <c r="H77" s="269"/>
      <c r="J77" s="269"/>
      <c r="K77" s="269"/>
      <c r="L77" s="269"/>
      <c r="M77" s="269"/>
      <c r="N77" s="269"/>
      <c r="O77" s="269"/>
    </row>
    <row r="78" spans="1:17" ht="9.75" customHeight="1" x14ac:dyDescent="0.2">
      <c r="B78" s="269"/>
      <c r="C78" s="269"/>
      <c r="E78" s="269"/>
      <c r="H78" s="269"/>
      <c r="J78" s="269"/>
      <c r="K78" s="269"/>
      <c r="L78" s="269"/>
      <c r="M78" s="269"/>
      <c r="N78" s="269"/>
      <c r="O78" s="269"/>
    </row>
    <row r="79" spans="1:17" ht="9.75" customHeight="1" x14ac:dyDescent="0.2">
      <c r="B79" s="269"/>
      <c r="C79" s="269"/>
      <c r="E79" s="269"/>
      <c r="H79" s="269"/>
      <c r="J79" s="269"/>
      <c r="K79" s="269"/>
      <c r="L79" s="269"/>
      <c r="M79" s="269"/>
      <c r="N79" s="269"/>
      <c r="O79" s="269"/>
    </row>
    <row r="80" spans="1:17" ht="9.75" customHeight="1" x14ac:dyDescent="0.2">
      <c r="B80" s="269"/>
      <c r="C80" s="269"/>
      <c r="E80" s="269"/>
      <c r="H80" s="269"/>
      <c r="J80" s="269"/>
      <c r="K80" s="269"/>
      <c r="L80" s="269"/>
      <c r="M80" s="269"/>
      <c r="N80" s="269"/>
      <c r="O80" s="269"/>
    </row>
    <row r="81" spans="2:15" ht="9.75" customHeight="1" x14ac:dyDescent="0.2">
      <c r="B81" s="269"/>
      <c r="C81" s="269"/>
      <c r="E81" s="269"/>
      <c r="H81" s="269"/>
      <c r="J81" s="269"/>
      <c r="K81" s="269"/>
      <c r="L81" s="269"/>
      <c r="M81" s="269"/>
      <c r="N81" s="269"/>
      <c r="O81" s="269"/>
    </row>
    <row r="82" spans="2:15" ht="9.75" customHeight="1" x14ac:dyDescent="0.2">
      <c r="B82" s="269"/>
      <c r="C82" s="269"/>
      <c r="E82" s="269"/>
      <c r="H82" s="269"/>
      <c r="J82" s="269"/>
      <c r="K82" s="269"/>
      <c r="L82" s="269"/>
      <c r="M82" s="269"/>
      <c r="N82" s="269"/>
      <c r="O82" s="269"/>
    </row>
    <row r="83" spans="2:15" ht="9.75" customHeight="1" x14ac:dyDescent="0.2">
      <c r="B83" s="269"/>
      <c r="C83" s="269"/>
      <c r="E83" s="269"/>
      <c r="H83" s="269"/>
      <c r="J83" s="269"/>
      <c r="K83" s="269"/>
      <c r="L83" s="269"/>
      <c r="M83" s="269"/>
      <c r="N83" s="269"/>
      <c r="O83" s="269"/>
    </row>
    <row r="84" spans="2:15" ht="9.75" customHeight="1" x14ac:dyDescent="0.2">
      <c r="B84" s="269"/>
      <c r="C84" s="269"/>
      <c r="E84" s="269"/>
      <c r="H84" s="269"/>
      <c r="J84" s="269"/>
      <c r="K84" s="269"/>
      <c r="L84" s="269"/>
      <c r="M84" s="269"/>
      <c r="N84" s="269"/>
      <c r="O84" s="269"/>
    </row>
    <row r="85" spans="2:15" ht="9.75" customHeight="1" x14ac:dyDescent="0.2">
      <c r="B85" s="269"/>
      <c r="C85" s="269"/>
      <c r="E85" s="269"/>
      <c r="H85" s="269"/>
      <c r="J85" s="269"/>
      <c r="K85" s="269"/>
      <c r="L85" s="269"/>
      <c r="M85" s="269"/>
      <c r="N85" s="269"/>
      <c r="O85" s="269"/>
    </row>
    <row r="86" spans="2:15" ht="9.75" customHeight="1" x14ac:dyDescent="0.2">
      <c r="B86" s="269"/>
      <c r="C86" s="269"/>
      <c r="E86" s="269"/>
      <c r="H86" s="269"/>
      <c r="J86" s="269"/>
      <c r="K86" s="269"/>
      <c r="L86" s="269"/>
      <c r="M86" s="269"/>
      <c r="N86" s="269"/>
      <c r="O86" s="269"/>
    </row>
    <row r="87" spans="2:15" ht="9.75" customHeight="1" x14ac:dyDescent="0.2">
      <c r="B87" s="269"/>
      <c r="C87" s="269"/>
      <c r="E87" s="269"/>
      <c r="H87" s="269"/>
      <c r="J87" s="269"/>
      <c r="K87" s="269"/>
      <c r="L87" s="269"/>
      <c r="M87" s="269"/>
      <c r="N87" s="269"/>
      <c r="O87" s="269"/>
    </row>
    <row r="88" spans="2:15" ht="9.75" customHeight="1" x14ac:dyDescent="0.2">
      <c r="B88" s="269"/>
      <c r="C88" s="269"/>
      <c r="E88" s="269"/>
      <c r="H88" s="269"/>
      <c r="J88" s="269"/>
      <c r="K88" s="269"/>
      <c r="L88" s="269"/>
      <c r="M88" s="269"/>
      <c r="N88" s="269"/>
      <c r="O88" s="269"/>
    </row>
    <row r="89" spans="2:15" ht="9.75" customHeight="1" x14ac:dyDescent="0.2">
      <c r="B89" s="269"/>
      <c r="C89" s="269"/>
      <c r="E89" s="269"/>
      <c r="H89" s="269"/>
      <c r="J89" s="269"/>
      <c r="K89" s="269"/>
      <c r="L89" s="269"/>
      <c r="M89" s="269"/>
      <c r="N89" s="269"/>
      <c r="O89" s="269"/>
    </row>
    <row r="90" spans="2:15" ht="9.75" customHeight="1" x14ac:dyDescent="0.2">
      <c r="B90" s="269"/>
      <c r="C90" s="269"/>
      <c r="E90" s="269"/>
      <c r="H90" s="269"/>
      <c r="J90" s="269"/>
      <c r="K90" s="269"/>
      <c r="L90" s="269"/>
      <c r="M90" s="269"/>
      <c r="N90" s="269"/>
      <c r="O90" s="269"/>
    </row>
    <row r="91" spans="2:15" ht="9.75" customHeight="1" x14ac:dyDescent="0.2">
      <c r="B91" s="269"/>
      <c r="C91" s="269"/>
      <c r="E91" s="269"/>
      <c r="H91" s="269"/>
      <c r="J91" s="269"/>
      <c r="K91" s="269"/>
      <c r="L91" s="269"/>
      <c r="M91" s="269"/>
      <c r="N91" s="269"/>
      <c r="O91" s="269"/>
    </row>
    <row r="92" spans="2:15" ht="9.75" customHeight="1" x14ac:dyDescent="0.2">
      <c r="B92" s="269"/>
      <c r="C92" s="269"/>
      <c r="E92" s="269"/>
      <c r="H92" s="269"/>
      <c r="J92" s="269"/>
      <c r="K92" s="269"/>
      <c r="L92" s="269"/>
      <c r="M92" s="269"/>
      <c r="N92" s="269"/>
      <c r="O92" s="269"/>
    </row>
    <row r="93" spans="2:15" ht="9.75" customHeight="1" x14ac:dyDescent="0.2">
      <c r="B93" s="269"/>
      <c r="C93" s="269"/>
      <c r="E93" s="269"/>
      <c r="H93" s="269"/>
      <c r="J93" s="269"/>
      <c r="K93" s="269"/>
      <c r="L93" s="269"/>
      <c r="M93" s="269"/>
      <c r="N93" s="269"/>
      <c r="O93" s="269"/>
    </row>
    <row r="94" spans="2:15" ht="9.75" customHeight="1" x14ac:dyDescent="0.2">
      <c r="B94" s="269"/>
      <c r="C94" s="269"/>
      <c r="E94" s="269"/>
      <c r="H94" s="269"/>
      <c r="J94" s="269"/>
      <c r="K94" s="269"/>
      <c r="L94" s="269"/>
      <c r="M94" s="269"/>
      <c r="N94" s="269"/>
      <c r="O94" s="269"/>
    </row>
    <row r="95" spans="2:15" ht="9.75" customHeight="1" x14ac:dyDescent="0.2">
      <c r="B95" s="269"/>
      <c r="C95" s="269"/>
      <c r="E95" s="269"/>
      <c r="H95" s="269"/>
      <c r="J95" s="269"/>
      <c r="K95" s="269"/>
      <c r="L95" s="269"/>
      <c r="M95" s="269"/>
      <c r="N95" s="269"/>
      <c r="O95" s="269"/>
    </row>
    <row r="96" spans="2:15" ht="9.75" customHeight="1" x14ac:dyDescent="0.2">
      <c r="B96" s="269"/>
      <c r="C96" s="269"/>
      <c r="E96" s="269"/>
      <c r="H96" s="269"/>
      <c r="J96" s="269"/>
      <c r="K96" s="269"/>
      <c r="L96" s="269"/>
      <c r="M96" s="269"/>
      <c r="N96" s="269"/>
      <c r="O96" s="269"/>
    </row>
    <row r="97" spans="2:15" ht="9.75" customHeight="1" x14ac:dyDescent="0.2">
      <c r="B97" s="269"/>
      <c r="C97" s="269"/>
      <c r="E97" s="269"/>
      <c r="H97" s="269"/>
      <c r="J97" s="269"/>
      <c r="K97" s="269"/>
      <c r="L97" s="269"/>
      <c r="M97" s="269"/>
      <c r="N97" s="269"/>
      <c r="O97" s="269"/>
    </row>
    <row r="98" spans="2:15" ht="9.75" customHeight="1" x14ac:dyDescent="0.2">
      <c r="B98" s="269"/>
      <c r="C98" s="269"/>
      <c r="E98" s="269"/>
      <c r="H98" s="269"/>
      <c r="J98" s="269"/>
      <c r="K98" s="269"/>
      <c r="L98" s="269"/>
      <c r="M98" s="269"/>
      <c r="N98" s="269"/>
      <c r="O98" s="269"/>
    </row>
    <row r="99" spans="2:15" ht="9.75" customHeight="1" x14ac:dyDescent="0.2">
      <c r="B99" s="269"/>
      <c r="C99" s="269"/>
      <c r="E99" s="269"/>
      <c r="H99" s="269"/>
      <c r="J99" s="269"/>
      <c r="K99" s="269"/>
      <c r="L99" s="269"/>
      <c r="M99" s="269"/>
      <c r="N99" s="269"/>
      <c r="O99" s="269"/>
    </row>
    <row r="100" spans="2:15" ht="9.75" customHeight="1" x14ac:dyDescent="0.2">
      <c r="B100" s="269"/>
      <c r="C100" s="269"/>
      <c r="E100" s="269"/>
      <c r="H100" s="269"/>
      <c r="J100" s="269"/>
      <c r="K100" s="269"/>
      <c r="L100" s="269"/>
      <c r="M100" s="269"/>
      <c r="N100" s="269"/>
      <c r="O100" s="269"/>
    </row>
    <row r="101" spans="2:15" ht="9.75" customHeight="1" x14ac:dyDescent="0.2">
      <c r="B101" s="269"/>
      <c r="C101" s="269"/>
      <c r="E101" s="269"/>
      <c r="H101" s="269"/>
      <c r="J101" s="269"/>
      <c r="K101" s="269"/>
      <c r="L101" s="269"/>
      <c r="M101" s="269"/>
      <c r="N101" s="269"/>
      <c r="O101" s="269"/>
    </row>
    <row r="102" spans="2:15" ht="9.75" customHeight="1" x14ac:dyDescent="0.2">
      <c r="B102" s="269"/>
      <c r="C102" s="269"/>
      <c r="E102" s="269"/>
      <c r="H102" s="269"/>
      <c r="J102" s="269"/>
      <c r="K102" s="269"/>
      <c r="L102" s="269"/>
      <c r="M102" s="269"/>
      <c r="N102" s="269"/>
      <c r="O102" s="269"/>
    </row>
    <row r="103" spans="2:15" ht="9.75" customHeight="1" x14ac:dyDescent="0.2">
      <c r="B103" s="269"/>
      <c r="C103" s="269"/>
      <c r="E103" s="269"/>
      <c r="H103" s="269"/>
      <c r="J103" s="269"/>
      <c r="K103" s="269"/>
      <c r="L103" s="269"/>
      <c r="M103" s="269"/>
      <c r="N103" s="269"/>
      <c r="O103" s="269"/>
    </row>
    <row r="104" spans="2:15" ht="9.75" customHeight="1" x14ac:dyDescent="0.2">
      <c r="B104" s="269"/>
      <c r="C104" s="269"/>
      <c r="E104" s="269"/>
      <c r="H104" s="269"/>
      <c r="J104" s="269"/>
      <c r="K104" s="269"/>
      <c r="L104" s="269"/>
      <c r="M104" s="269"/>
      <c r="N104" s="269"/>
      <c r="O104" s="269"/>
    </row>
    <row r="105" spans="2:15" ht="9.75" customHeight="1" x14ac:dyDescent="0.2">
      <c r="B105" s="269"/>
      <c r="C105" s="269"/>
      <c r="E105" s="269"/>
      <c r="H105" s="269"/>
      <c r="J105" s="269"/>
      <c r="K105" s="269"/>
      <c r="L105" s="269"/>
      <c r="M105" s="269"/>
      <c r="N105" s="269"/>
      <c r="O105" s="269"/>
    </row>
    <row r="106" spans="2:15" ht="9.75" customHeight="1" x14ac:dyDescent="0.2">
      <c r="B106" s="269"/>
      <c r="C106" s="269"/>
      <c r="E106" s="269"/>
      <c r="H106" s="269"/>
      <c r="J106" s="269"/>
      <c r="K106" s="269"/>
      <c r="L106" s="269"/>
      <c r="M106" s="269"/>
      <c r="N106" s="269"/>
      <c r="O106" s="269"/>
    </row>
    <row r="107" spans="2:15" ht="9.75" customHeight="1" x14ac:dyDescent="0.2">
      <c r="B107" s="269"/>
      <c r="C107" s="269"/>
      <c r="E107" s="269"/>
      <c r="H107" s="269"/>
      <c r="J107" s="269"/>
      <c r="K107" s="269"/>
      <c r="L107" s="269"/>
      <c r="M107" s="269"/>
      <c r="N107" s="269"/>
      <c r="O107" s="269"/>
    </row>
    <row r="108" spans="2:15" ht="9.75" customHeight="1" x14ac:dyDescent="0.2">
      <c r="B108" s="269"/>
      <c r="C108" s="269"/>
      <c r="E108" s="269"/>
      <c r="H108" s="269"/>
      <c r="J108" s="269"/>
      <c r="K108" s="269"/>
      <c r="L108" s="269"/>
      <c r="M108" s="269"/>
      <c r="N108" s="269"/>
      <c r="O108" s="269"/>
    </row>
    <row r="109" spans="2:15" ht="9.75" customHeight="1" x14ac:dyDescent="0.2">
      <c r="B109" s="269"/>
      <c r="C109" s="269"/>
      <c r="E109" s="269"/>
      <c r="H109" s="269"/>
      <c r="J109" s="269"/>
      <c r="K109" s="269"/>
      <c r="L109" s="269"/>
      <c r="M109" s="269"/>
      <c r="N109" s="269"/>
      <c r="O109" s="269"/>
    </row>
    <row r="110" spans="2:15" ht="9.75" customHeight="1" x14ac:dyDescent="0.2">
      <c r="B110" s="269"/>
      <c r="C110" s="269"/>
      <c r="E110" s="269"/>
      <c r="H110" s="269"/>
      <c r="J110" s="269"/>
      <c r="K110" s="269"/>
      <c r="L110" s="269"/>
      <c r="M110" s="269"/>
      <c r="N110" s="269"/>
      <c r="O110" s="269"/>
    </row>
    <row r="111" spans="2:15" ht="9.75" customHeight="1" x14ac:dyDescent="0.2">
      <c r="B111" s="269"/>
      <c r="C111" s="269"/>
      <c r="E111" s="269"/>
      <c r="H111" s="269"/>
      <c r="J111" s="269"/>
      <c r="K111" s="269"/>
      <c r="L111" s="269"/>
      <c r="M111" s="269"/>
      <c r="N111" s="269"/>
      <c r="O111" s="269"/>
    </row>
    <row r="112" spans="2:15" ht="9.75" customHeight="1" x14ac:dyDescent="0.2">
      <c r="B112" s="269"/>
      <c r="C112" s="269"/>
      <c r="E112" s="269"/>
      <c r="H112" s="269"/>
      <c r="J112" s="269"/>
      <c r="K112" s="269"/>
      <c r="L112" s="269"/>
      <c r="M112" s="269"/>
      <c r="N112" s="269"/>
      <c r="O112" s="269"/>
    </row>
    <row r="113" spans="2:15" ht="9.75" customHeight="1" x14ac:dyDescent="0.2">
      <c r="B113" s="269"/>
      <c r="C113" s="269"/>
      <c r="E113" s="269"/>
      <c r="H113" s="269"/>
      <c r="J113" s="269"/>
      <c r="K113" s="269"/>
      <c r="L113" s="269"/>
      <c r="M113" s="269"/>
      <c r="N113" s="269"/>
      <c r="O113" s="269"/>
    </row>
    <row r="114" spans="2:15" ht="9.75" customHeight="1" x14ac:dyDescent="0.2">
      <c r="B114" s="269"/>
      <c r="C114" s="269"/>
      <c r="E114" s="269"/>
      <c r="H114" s="269"/>
      <c r="J114" s="269"/>
      <c r="K114" s="269"/>
      <c r="L114" s="269"/>
      <c r="M114" s="269"/>
      <c r="N114" s="269"/>
      <c r="O114" s="269"/>
    </row>
    <row r="115" spans="2:15" ht="9.75" customHeight="1" x14ac:dyDescent="0.2">
      <c r="B115" s="269"/>
      <c r="C115" s="269"/>
      <c r="E115" s="269"/>
      <c r="H115" s="269"/>
      <c r="J115" s="269"/>
      <c r="K115" s="269"/>
      <c r="L115" s="269"/>
      <c r="M115" s="269"/>
      <c r="N115" s="269"/>
      <c r="O115" s="269"/>
    </row>
    <row r="116" spans="2:15" ht="9.75" customHeight="1" x14ac:dyDescent="0.2">
      <c r="B116" s="269"/>
      <c r="C116" s="269"/>
      <c r="E116" s="269"/>
      <c r="H116" s="269"/>
      <c r="J116" s="269"/>
      <c r="K116" s="269"/>
      <c r="L116" s="269"/>
      <c r="M116" s="269"/>
      <c r="N116" s="269"/>
      <c r="O116" s="269"/>
    </row>
    <row r="117" spans="2:15" ht="9.75" customHeight="1" x14ac:dyDescent="0.2">
      <c r="B117" s="269"/>
      <c r="C117" s="269"/>
      <c r="E117" s="269"/>
      <c r="H117" s="269"/>
      <c r="J117" s="269"/>
      <c r="K117" s="269"/>
      <c r="L117" s="269"/>
      <c r="M117" s="269"/>
      <c r="N117" s="269"/>
      <c r="O117" s="269"/>
    </row>
    <row r="118" spans="2:15" ht="9.75" customHeight="1" x14ac:dyDescent="0.2">
      <c r="B118" s="269"/>
      <c r="C118" s="269"/>
      <c r="E118" s="269"/>
      <c r="H118" s="269"/>
      <c r="J118" s="269"/>
      <c r="K118" s="269"/>
      <c r="L118" s="269"/>
      <c r="M118" s="269"/>
      <c r="N118" s="269"/>
      <c r="O118" s="269"/>
    </row>
    <row r="119" spans="2:15" ht="9.75" customHeight="1" x14ac:dyDescent="0.2">
      <c r="B119" s="269"/>
      <c r="C119" s="269"/>
      <c r="E119" s="269"/>
      <c r="H119" s="269"/>
      <c r="J119" s="269"/>
      <c r="K119" s="269"/>
      <c r="L119" s="269"/>
      <c r="M119" s="269"/>
      <c r="N119" s="269"/>
      <c r="O119" s="269"/>
    </row>
    <row r="120" spans="2:15" ht="9.75" customHeight="1" x14ac:dyDescent="0.2">
      <c r="B120" s="269"/>
      <c r="C120" s="269"/>
      <c r="E120" s="269"/>
      <c r="H120" s="269"/>
      <c r="J120" s="269"/>
      <c r="K120" s="269"/>
      <c r="L120" s="269"/>
      <c r="M120" s="269"/>
      <c r="N120" s="269"/>
      <c r="O120" s="269"/>
    </row>
    <row r="121" spans="2:15" ht="9.75" customHeight="1" x14ac:dyDescent="0.2">
      <c r="B121" s="269"/>
      <c r="C121" s="269"/>
      <c r="E121" s="269"/>
      <c r="H121" s="269"/>
      <c r="J121" s="269"/>
      <c r="K121" s="269"/>
      <c r="L121" s="269"/>
      <c r="M121" s="269"/>
      <c r="N121" s="269"/>
      <c r="O121" s="269"/>
    </row>
    <row r="122" spans="2:15" ht="9.75" customHeight="1" x14ac:dyDescent="0.2">
      <c r="B122" s="269"/>
      <c r="C122" s="269"/>
      <c r="E122" s="269"/>
      <c r="H122" s="269"/>
      <c r="J122" s="269"/>
      <c r="K122" s="269"/>
      <c r="L122" s="269"/>
      <c r="M122" s="269"/>
      <c r="N122" s="269"/>
      <c r="O122" s="269"/>
    </row>
    <row r="123" spans="2:15" ht="9.75" customHeight="1" x14ac:dyDescent="0.2">
      <c r="B123" s="269"/>
      <c r="C123" s="269"/>
      <c r="E123" s="269"/>
      <c r="H123" s="269"/>
      <c r="J123" s="269"/>
      <c r="K123" s="269"/>
      <c r="L123" s="269"/>
      <c r="M123" s="269"/>
      <c r="N123" s="269"/>
      <c r="O123" s="269"/>
    </row>
    <row r="124" spans="2:15" ht="9.75" customHeight="1" x14ac:dyDescent="0.2">
      <c r="B124" s="269"/>
      <c r="C124" s="269"/>
      <c r="E124" s="269"/>
      <c r="H124" s="269"/>
      <c r="J124" s="269"/>
      <c r="K124" s="269"/>
      <c r="L124" s="269"/>
      <c r="M124" s="269"/>
      <c r="N124" s="269"/>
      <c r="O124" s="269"/>
    </row>
    <row r="125" spans="2:15" ht="9.75" customHeight="1" x14ac:dyDescent="0.2">
      <c r="B125" s="269"/>
      <c r="C125" s="269"/>
      <c r="E125" s="269"/>
      <c r="H125" s="269"/>
      <c r="J125" s="269"/>
      <c r="K125" s="269"/>
      <c r="L125" s="269"/>
      <c r="M125" s="269"/>
      <c r="N125" s="269"/>
      <c r="O125" s="269"/>
    </row>
    <row r="126" spans="2:15" ht="9.75" customHeight="1" x14ac:dyDescent="0.2">
      <c r="B126" s="269"/>
      <c r="C126" s="269"/>
      <c r="E126" s="269"/>
      <c r="H126" s="269"/>
      <c r="J126" s="269"/>
      <c r="K126" s="269"/>
      <c r="L126" s="269"/>
      <c r="M126" s="269"/>
      <c r="N126" s="269"/>
      <c r="O126" s="269"/>
    </row>
    <row r="127" spans="2:15" ht="9.75" customHeight="1" x14ac:dyDescent="0.2">
      <c r="B127" s="269"/>
      <c r="C127" s="269"/>
      <c r="E127" s="269"/>
      <c r="H127" s="269"/>
      <c r="J127" s="269"/>
      <c r="K127" s="269"/>
      <c r="L127" s="269"/>
      <c r="M127" s="269"/>
      <c r="N127" s="269"/>
      <c r="O127" s="269"/>
    </row>
    <row r="128" spans="2:15" ht="9.75" customHeight="1" x14ac:dyDescent="0.2">
      <c r="B128" s="269"/>
      <c r="C128" s="269"/>
      <c r="E128" s="269"/>
      <c r="H128" s="269"/>
      <c r="J128" s="269"/>
      <c r="K128" s="269"/>
      <c r="L128" s="269"/>
      <c r="M128" s="269"/>
      <c r="N128" s="269"/>
      <c r="O128" s="269"/>
    </row>
    <row r="129" spans="2:15" ht="9.75" customHeight="1" x14ac:dyDescent="0.2">
      <c r="B129" s="269"/>
      <c r="C129" s="269"/>
      <c r="E129" s="269"/>
      <c r="H129" s="269"/>
      <c r="J129" s="269"/>
      <c r="K129" s="269"/>
      <c r="L129" s="269"/>
      <c r="M129" s="269"/>
      <c r="N129" s="269"/>
      <c r="O129" s="269"/>
    </row>
    <row r="130" spans="2:15" ht="9.75" customHeight="1" x14ac:dyDescent="0.2">
      <c r="B130" s="269"/>
      <c r="C130" s="269"/>
      <c r="E130" s="269"/>
      <c r="H130" s="269"/>
      <c r="J130" s="269"/>
      <c r="K130" s="269"/>
      <c r="L130" s="269"/>
      <c r="M130" s="269"/>
      <c r="N130" s="269"/>
      <c r="O130" s="269"/>
    </row>
    <row r="131" spans="2:15" ht="9.75" customHeight="1" x14ac:dyDescent="0.2">
      <c r="B131" s="269"/>
      <c r="C131" s="269"/>
      <c r="E131" s="269"/>
      <c r="H131" s="269"/>
      <c r="J131" s="269"/>
      <c r="K131" s="269"/>
      <c r="L131" s="269"/>
      <c r="M131" s="269"/>
      <c r="N131" s="269"/>
      <c r="O131" s="269"/>
    </row>
    <row r="132" spans="2:15" ht="9.75" customHeight="1" x14ac:dyDescent="0.2">
      <c r="B132" s="269"/>
      <c r="C132" s="269"/>
      <c r="E132" s="269"/>
      <c r="H132" s="269"/>
      <c r="J132" s="269"/>
      <c r="K132" s="269"/>
      <c r="L132" s="269"/>
      <c r="M132" s="269"/>
      <c r="N132" s="269"/>
      <c r="O132" s="269"/>
    </row>
    <row r="133" spans="2:15" ht="9.75" customHeight="1" x14ac:dyDescent="0.2">
      <c r="B133" s="269"/>
      <c r="C133" s="269"/>
      <c r="E133" s="269"/>
      <c r="H133" s="269"/>
      <c r="J133" s="269"/>
      <c r="K133" s="269"/>
      <c r="L133" s="269"/>
      <c r="M133" s="269"/>
      <c r="N133" s="269"/>
      <c r="O133" s="269"/>
    </row>
    <row r="134" spans="2:15" ht="9.75" customHeight="1" x14ac:dyDescent="0.2">
      <c r="B134" s="269"/>
      <c r="C134" s="269"/>
      <c r="E134" s="269"/>
      <c r="H134" s="269"/>
      <c r="J134" s="269"/>
      <c r="K134" s="269"/>
      <c r="L134" s="269"/>
      <c r="M134" s="269"/>
      <c r="N134" s="269"/>
      <c r="O134" s="269"/>
    </row>
    <row r="135" spans="2:15" ht="9.75" customHeight="1" x14ac:dyDescent="0.2">
      <c r="B135" s="269"/>
      <c r="C135" s="269"/>
      <c r="E135" s="269"/>
      <c r="H135" s="269"/>
      <c r="J135" s="269"/>
      <c r="K135" s="269"/>
      <c r="L135" s="269"/>
      <c r="M135" s="269"/>
      <c r="N135" s="269"/>
      <c r="O135" s="269"/>
    </row>
    <row r="136" spans="2:15" ht="9.75" customHeight="1" x14ac:dyDescent="0.2">
      <c r="B136" s="269"/>
      <c r="C136" s="269"/>
      <c r="E136" s="269"/>
      <c r="H136" s="269"/>
      <c r="J136" s="269"/>
      <c r="K136" s="269"/>
      <c r="L136" s="269"/>
      <c r="M136" s="269"/>
      <c r="N136" s="269"/>
      <c r="O136" s="269"/>
    </row>
    <row r="137" spans="2:15" ht="9.75" customHeight="1" x14ac:dyDescent="0.2">
      <c r="B137" s="269"/>
      <c r="C137" s="269"/>
      <c r="E137" s="269"/>
      <c r="H137" s="269"/>
      <c r="J137" s="269"/>
      <c r="K137" s="269"/>
      <c r="L137" s="269"/>
      <c r="M137" s="269"/>
      <c r="N137" s="269"/>
      <c r="O137" s="269"/>
    </row>
    <row r="138" spans="2:15" ht="9.75" customHeight="1" x14ac:dyDescent="0.2">
      <c r="B138" s="269"/>
      <c r="C138" s="269"/>
      <c r="E138" s="269"/>
      <c r="H138" s="269"/>
      <c r="J138" s="269"/>
      <c r="K138" s="269"/>
      <c r="L138" s="269"/>
      <c r="M138" s="269"/>
      <c r="N138" s="269"/>
      <c r="O138" s="269"/>
    </row>
    <row r="139" spans="2:15" ht="9.75" customHeight="1" x14ac:dyDescent="0.2">
      <c r="B139" s="269"/>
      <c r="C139" s="269"/>
      <c r="E139" s="269"/>
      <c r="H139" s="269"/>
      <c r="J139" s="269"/>
      <c r="K139" s="269"/>
      <c r="L139" s="269"/>
      <c r="M139" s="269"/>
      <c r="N139" s="269"/>
      <c r="O139" s="269"/>
    </row>
    <row r="140" spans="2:15" ht="9.75" customHeight="1" x14ac:dyDescent="0.2">
      <c r="B140" s="269"/>
      <c r="C140" s="269"/>
      <c r="E140" s="269"/>
      <c r="H140" s="269"/>
      <c r="J140" s="269"/>
      <c r="K140" s="269"/>
      <c r="L140" s="269"/>
      <c r="M140" s="269"/>
      <c r="N140" s="269"/>
      <c r="O140" s="269"/>
    </row>
    <row r="141" spans="2:15" ht="9.75" customHeight="1" x14ac:dyDescent="0.2">
      <c r="B141" s="269"/>
      <c r="C141" s="269"/>
      <c r="E141" s="269"/>
      <c r="H141" s="269"/>
      <c r="J141" s="269"/>
      <c r="K141" s="269"/>
      <c r="L141" s="269"/>
      <c r="M141" s="269"/>
      <c r="N141" s="269"/>
      <c r="O141" s="269"/>
    </row>
    <row r="142" spans="2:15" ht="9.75" customHeight="1" x14ac:dyDescent="0.2">
      <c r="B142" s="269"/>
      <c r="C142" s="269"/>
      <c r="E142" s="269"/>
      <c r="H142" s="269"/>
      <c r="J142" s="269"/>
      <c r="K142" s="269"/>
      <c r="L142" s="269"/>
      <c r="M142" s="269"/>
      <c r="N142" s="269"/>
      <c r="O142" s="269"/>
    </row>
    <row r="143" spans="2:15" ht="9.75" customHeight="1" x14ac:dyDescent="0.2">
      <c r="B143" s="269"/>
      <c r="C143" s="269"/>
      <c r="E143" s="269"/>
      <c r="H143" s="269"/>
      <c r="J143" s="269"/>
      <c r="K143" s="269"/>
      <c r="L143" s="269"/>
      <c r="M143" s="269"/>
      <c r="N143" s="269"/>
      <c r="O143" s="269"/>
    </row>
    <row r="144" spans="2:15" ht="9.75" customHeight="1" x14ac:dyDescent="0.2">
      <c r="B144" s="269"/>
      <c r="C144" s="269"/>
      <c r="E144" s="269"/>
      <c r="H144" s="269"/>
      <c r="J144" s="269"/>
      <c r="K144" s="269"/>
      <c r="L144" s="269"/>
      <c r="M144" s="269"/>
      <c r="N144" s="269"/>
      <c r="O144" s="269"/>
    </row>
    <row r="145" spans="2:15" ht="9.75" customHeight="1" x14ac:dyDescent="0.2">
      <c r="B145" s="269"/>
      <c r="C145" s="269"/>
      <c r="E145" s="269"/>
      <c r="H145" s="269"/>
      <c r="J145" s="269"/>
      <c r="K145" s="269"/>
      <c r="L145" s="269"/>
      <c r="M145" s="269"/>
      <c r="N145" s="269"/>
      <c r="O145" s="269"/>
    </row>
    <row r="146" spans="2:15" ht="9.75" customHeight="1" x14ac:dyDescent="0.2">
      <c r="B146" s="269"/>
      <c r="C146" s="269"/>
      <c r="E146" s="269"/>
      <c r="H146" s="269"/>
      <c r="J146" s="269"/>
      <c r="K146" s="269"/>
      <c r="L146" s="269"/>
      <c r="M146" s="269"/>
      <c r="N146" s="269"/>
      <c r="O146" s="269"/>
    </row>
    <row r="147" spans="2:15" ht="9.75" customHeight="1" x14ac:dyDescent="0.2">
      <c r="B147" s="269"/>
      <c r="C147" s="269"/>
      <c r="E147" s="269"/>
      <c r="H147" s="269"/>
      <c r="J147" s="269"/>
      <c r="K147" s="269"/>
      <c r="L147" s="269"/>
      <c r="M147" s="269"/>
      <c r="N147" s="269"/>
      <c r="O147" s="269"/>
    </row>
    <row r="148" spans="2:15" ht="9.75" customHeight="1" x14ac:dyDescent="0.2">
      <c r="B148" s="269"/>
      <c r="C148" s="269"/>
      <c r="E148" s="269"/>
      <c r="H148" s="269"/>
      <c r="J148" s="269"/>
      <c r="K148" s="269"/>
      <c r="L148" s="269"/>
      <c r="M148" s="269"/>
      <c r="N148" s="269"/>
      <c r="O148" s="269"/>
    </row>
    <row r="149" spans="2:15" ht="9.75" customHeight="1" x14ac:dyDescent="0.2">
      <c r="B149" s="269"/>
      <c r="C149" s="269"/>
      <c r="E149" s="269"/>
      <c r="H149" s="269"/>
      <c r="J149" s="269"/>
      <c r="K149" s="269"/>
      <c r="L149" s="269"/>
      <c r="M149" s="269"/>
      <c r="N149" s="269"/>
      <c r="O149" s="269"/>
    </row>
    <row r="150" spans="2:15" ht="9.75" customHeight="1" x14ac:dyDescent="0.2">
      <c r="B150" s="269"/>
      <c r="C150" s="269"/>
      <c r="E150" s="269"/>
      <c r="H150" s="269"/>
      <c r="J150" s="269"/>
      <c r="K150" s="269"/>
      <c r="L150" s="269"/>
      <c r="M150" s="269"/>
      <c r="N150" s="269"/>
      <c r="O150" s="269"/>
    </row>
    <row r="151" spans="2:15" ht="9.75" customHeight="1" x14ac:dyDescent="0.2">
      <c r="B151" s="269"/>
      <c r="C151" s="269"/>
      <c r="E151" s="269"/>
      <c r="H151" s="269"/>
      <c r="J151" s="269"/>
      <c r="K151" s="269"/>
      <c r="L151" s="269"/>
      <c r="M151" s="269"/>
      <c r="N151" s="269"/>
      <c r="O151" s="269"/>
    </row>
    <row r="152" spans="2:15" ht="9.75" customHeight="1" x14ac:dyDescent="0.2">
      <c r="B152" s="269"/>
      <c r="C152" s="269"/>
      <c r="E152" s="269"/>
      <c r="H152" s="269"/>
      <c r="J152" s="269"/>
      <c r="K152" s="269"/>
      <c r="L152" s="269"/>
      <c r="M152" s="269"/>
      <c r="N152" s="269"/>
      <c r="O152" s="269"/>
    </row>
    <row r="153" spans="2:15" ht="9.75" customHeight="1" x14ac:dyDescent="0.2">
      <c r="B153" s="269"/>
      <c r="C153" s="269"/>
      <c r="E153" s="269"/>
      <c r="H153" s="269"/>
      <c r="J153" s="269"/>
      <c r="K153" s="269"/>
      <c r="L153" s="269"/>
      <c r="M153" s="269"/>
      <c r="N153" s="269"/>
      <c r="O153" s="269"/>
    </row>
    <row r="154" spans="2:15" ht="9.75" customHeight="1" x14ac:dyDescent="0.2">
      <c r="B154" s="269"/>
      <c r="C154" s="269"/>
      <c r="E154" s="269"/>
      <c r="H154" s="269"/>
      <c r="J154" s="269"/>
      <c r="K154" s="269"/>
      <c r="L154" s="269"/>
      <c r="M154" s="269"/>
      <c r="N154" s="269"/>
      <c r="O154" s="269"/>
    </row>
    <row r="155" spans="2:15" ht="9.75" customHeight="1" x14ac:dyDescent="0.2">
      <c r="B155" s="269"/>
      <c r="C155" s="269"/>
      <c r="E155" s="269"/>
      <c r="H155" s="269"/>
      <c r="J155" s="269"/>
      <c r="K155" s="269"/>
      <c r="L155" s="269"/>
      <c r="M155" s="269"/>
      <c r="N155" s="269"/>
      <c r="O155" s="269"/>
    </row>
    <row r="156" spans="2:15" ht="9.75" customHeight="1" x14ac:dyDescent="0.2">
      <c r="B156" s="269"/>
      <c r="C156" s="269"/>
      <c r="E156" s="269"/>
      <c r="H156" s="269"/>
      <c r="J156" s="269"/>
      <c r="K156" s="269"/>
      <c r="L156" s="269"/>
      <c r="M156" s="269"/>
      <c r="N156" s="269"/>
      <c r="O156" s="269"/>
    </row>
    <row r="157" spans="2:15" ht="9.75" customHeight="1" x14ac:dyDescent="0.2">
      <c r="B157" s="269"/>
      <c r="C157" s="269"/>
      <c r="E157" s="269"/>
      <c r="H157" s="269"/>
      <c r="J157" s="269"/>
      <c r="K157" s="269"/>
      <c r="L157" s="269"/>
      <c r="M157" s="269"/>
      <c r="N157" s="269"/>
      <c r="O157" s="269"/>
    </row>
    <row r="158" spans="2:15" ht="9.75" customHeight="1" x14ac:dyDescent="0.2">
      <c r="B158" s="269"/>
      <c r="C158" s="269"/>
      <c r="E158" s="269"/>
      <c r="H158" s="269"/>
      <c r="J158" s="269"/>
      <c r="K158" s="269"/>
      <c r="L158" s="269"/>
      <c r="M158" s="269"/>
      <c r="N158" s="269"/>
      <c r="O158" s="269"/>
    </row>
    <row r="159" spans="2:15" ht="9.75" customHeight="1" x14ac:dyDescent="0.2">
      <c r="B159" s="269"/>
      <c r="C159" s="269"/>
      <c r="E159" s="269"/>
      <c r="H159" s="269"/>
      <c r="J159" s="269"/>
      <c r="K159" s="269"/>
      <c r="L159" s="269"/>
      <c r="M159" s="269"/>
      <c r="N159" s="269"/>
      <c r="O159" s="269"/>
    </row>
    <row r="160" spans="2:15" ht="9.75" customHeight="1" x14ac:dyDescent="0.2">
      <c r="B160" s="269"/>
      <c r="C160" s="269"/>
      <c r="E160" s="269"/>
      <c r="H160" s="269"/>
      <c r="J160" s="269"/>
      <c r="K160" s="269"/>
      <c r="L160" s="269"/>
      <c r="M160" s="269"/>
      <c r="N160" s="269"/>
      <c r="O160" s="269"/>
    </row>
    <row r="161" spans="2:15" ht="9.75" customHeight="1" x14ac:dyDescent="0.2">
      <c r="B161" s="269"/>
      <c r="C161" s="269"/>
      <c r="E161" s="269"/>
      <c r="H161" s="269"/>
      <c r="J161" s="269"/>
      <c r="K161" s="269"/>
      <c r="L161" s="269"/>
      <c r="M161" s="269"/>
      <c r="N161" s="269"/>
      <c r="O161" s="269"/>
    </row>
    <row r="162" spans="2:15" ht="9.75" customHeight="1" x14ac:dyDescent="0.2">
      <c r="B162" s="269"/>
      <c r="C162" s="269"/>
      <c r="E162" s="269"/>
      <c r="H162" s="269"/>
      <c r="J162" s="269"/>
      <c r="K162" s="269"/>
      <c r="L162" s="269"/>
      <c r="M162" s="269"/>
      <c r="N162" s="269"/>
      <c r="O162" s="269"/>
    </row>
    <row r="163" spans="2:15" ht="9.75" customHeight="1" x14ac:dyDescent="0.2">
      <c r="B163" s="269"/>
      <c r="C163" s="269"/>
      <c r="E163" s="269"/>
      <c r="H163" s="269"/>
      <c r="J163" s="269"/>
      <c r="K163" s="269"/>
      <c r="L163" s="269"/>
      <c r="M163" s="269"/>
      <c r="N163" s="269"/>
      <c r="O163" s="269"/>
    </row>
    <row r="164" spans="2:15" ht="9.75" customHeight="1" x14ac:dyDescent="0.2">
      <c r="B164" s="269"/>
      <c r="C164" s="269"/>
      <c r="E164" s="269"/>
      <c r="H164" s="269"/>
      <c r="J164" s="269"/>
      <c r="K164" s="269"/>
      <c r="L164" s="269"/>
      <c r="M164" s="269"/>
      <c r="N164" s="269"/>
      <c r="O164" s="269"/>
    </row>
    <row r="165" spans="2:15" ht="9.75" customHeight="1" x14ac:dyDescent="0.2">
      <c r="B165" s="269"/>
      <c r="C165" s="269"/>
      <c r="E165" s="269"/>
      <c r="H165" s="269"/>
      <c r="J165" s="269"/>
      <c r="K165" s="269"/>
      <c r="L165" s="269"/>
      <c r="M165" s="269"/>
      <c r="N165" s="269"/>
      <c r="O165" s="269"/>
    </row>
    <row r="166" spans="2:15" ht="9.75" customHeight="1" x14ac:dyDescent="0.2">
      <c r="B166" s="269"/>
      <c r="C166" s="269"/>
      <c r="E166" s="269"/>
      <c r="H166" s="269"/>
      <c r="J166" s="269"/>
      <c r="K166" s="269"/>
      <c r="L166" s="269"/>
      <c r="M166" s="269"/>
      <c r="N166" s="269"/>
      <c r="O166" s="269"/>
    </row>
    <row r="167" spans="2:15" ht="9.75" customHeight="1" x14ac:dyDescent="0.2">
      <c r="B167" s="269"/>
      <c r="C167" s="269"/>
      <c r="E167" s="269"/>
      <c r="H167" s="269"/>
      <c r="J167" s="269"/>
      <c r="K167" s="269"/>
      <c r="L167" s="269"/>
      <c r="M167" s="269"/>
      <c r="N167" s="269"/>
      <c r="O167" s="269"/>
    </row>
    <row r="168" spans="2:15" ht="9.75" customHeight="1" x14ac:dyDescent="0.2">
      <c r="B168" s="269"/>
      <c r="C168" s="269"/>
      <c r="E168" s="269"/>
      <c r="H168" s="269"/>
      <c r="J168" s="269"/>
      <c r="K168" s="269"/>
      <c r="L168" s="269"/>
      <c r="M168" s="269"/>
      <c r="N168" s="269"/>
      <c r="O168" s="269"/>
    </row>
    <row r="169" spans="2:15" ht="9.75" customHeight="1" x14ac:dyDescent="0.2">
      <c r="B169" s="269"/>
      <c r="C169" s="269"/>
      <c r="E169" s="269"/>
      <c r="H169" s="269"/>
      <c r="J169" s="269"/>
      <c r="K169" s="269"/>
      <c r="L169" s="269"/>
      <c r="M169" s="269"/>
      <c r="N169" s="269"/>
      <c r="O169" s="269"/>
    </row>
    <row r="170" spans="2:15" ht="9.75" customHeight="1" x14ac:dyDescent="0.2">
      <c r="B170" s="269"/>
      <c r="C170" s="269"/>
      <c r="E170" s="269"/>
      <c r="H170" s="269"/>
      <c r="J170" s="269"/>
      <c r="K170" s="269"/>
      <c r="L170" s="269"/>
      <c r="M170" s="269"/>
      <c r="N170" s="269"/>
      <c r="O170" s="269"/>
    </row>
    <row r="171" spans="2:15" ht="9.75" customHeight="1" x14ac:dyDescent="0.2">
      <c r="B171" s="269"/>
      <c r="C171" s="269"/>
      <c r="E171" s="269"/>
      <c r="H171" s="269"/>
      <c r="J171" s="269"/>
      <c r="K171" s="269"/>
      <c r="L171" s="269"/>
      <c r="M171" s="269"/>
      <c r="N171" s="269"/>
      <c r="O171" s="269"/>
    </row>
    <row r="172" spans="2:15" ht="9.75" customHeight="1" x14ac:dyDescent="0.2">
      <c r="B172" s="269"/>
      <c r="C172" s="269"/>
      <c r="E172" s="269"/>
      <c r="H172" s="269"/>
      <c r="J172" s="269"/>
      <c r="K172" s="269"/>
      <c r="L172" s="269"/>
      <c r="M172" s="269"/>
      <c r="N172" s="269"/>
      <c r="O172" s="269"/>
    </row>
    <row r="173" spans="2:15" ht="9.75" customHeight="1" x14ac:dyDescent="0.2">
      <c r="B173" s="269"/>
      <c r="C173" s="269"/>
      <c r="E173" s="269"/>
      <c r="H173" s="269"/>
      <c r="J173" s="269"/>
      <c r="K173" s="269"/>
      <c r="L173" s="269"/>
      <c r="M173" s="269"/>
      <c r="N173" s="269"/>
      <c r="O173" s="269"/>
    </row>
    <row r="174" spans="2:15" ht="9.75" customHeight="1" x14ac:dyDescent="0.2">
      <c r="B174" s="269"/>
      <c r="C174" s="269"/>
      <c r="E174" s="269"/>
      <c r="H174" s="269"/>
      <c r="J174" s="269"/>
      <c r="K174" s="269"/>
      <c r="L174" s="269"/>
      <c r="M174" s="269"/>
      <c r="N174" s="269"/>
      <c r="O174" s="269"/>
    </row>
    <row r="175" spans="2:15" ht="9.75" customHeight="1" x14ac:dyDescent="0.2">
      <c r="B175" s="269"/>
      <c r="C175" s="269"/>
      <c r="E175" s="269"/>
      <c r="H175" s="269"/>
      <c r="J175" s="269"/>
      <c r="K175" s="269"/>
      <c r="L175" s="269"/>
      <c r="M175" s="269"/>
      <c r="N175" s="269"/>
      <c r="O175" s="269"/>
    </row>
    <row r="176" spans="2:15" ht="9.75" customHeight="1" x14ac:dyDescent="0.2">
      <c r="B176" s="269"/>
      <c r="C176" s="269"/>
      <c r="E176" s="269"/>
      <c r="H176" s="269"/>
      <c r="J176" s="269"/>
      <c r="K176" s="269"/>
      <c r="L176" s="269"/>
      <c r="M176" s="269"/>
      <c r="N176" s="269"/>
      <c r="O176" s="269"/>
    </row>
    <row r="177" spans="2:15" ht="9.75" customHeight="1" x14ac:dyDescent="0.2">
      <c r="B177" s="269"/>
      <c r="C177" s="269"/>
      <c r="E177" s="269"/>
      <c r="H177" s="269"/>
      <c r="J177" s="269"/>
      <c r="K177" s="269"/>
      <c r="L177" s="269"/>
      <c r="M177" s="269"/>
      <c r="N177" s="269"/>
      <c r="O177" s="269"/>
    </row>
    <row r="178" spans="2:15" ht="9.75" customHeight="1" x14ac:dyDescent="0.2">
      <c r="B178" s="269"/>
      <c r="C178" s="269"/>
      <c r="E178" s="269"/>
      <c r="H178" s="269"/>
      <c r="J178" s="269"/>
      <c r="K178" s="269"/>
      <c r="L178" s="269"/>
      <c r="M178" s="269"/>
      <c r="N178" s="269"/>
      <c r="O178" s="269"/>
    </row>
    <row r="179" spans="2:15" ht="9.75" customHeight="1" x14ac:dyDescent="0.2">
      <c r="B179" s="269"/>
      <c r="C179" s="269"/>
      <c r="E179" s="269"/>
      <c r="H179" s="269"/>
      <c r="J179" s="269"/>
      <c r="K179" s="269"/>
      <c r="L179" s="269"/>
      <c r="M179" s="269"/>
      <c r="N179" s="269"/>
      <c r="O179" s="269"/>
    </row>
    <row r="180" spans="2:15" ht="9.75" customHeight="1" x14ac:dyDescent="0.2">
      <c r="B180" s="269"/>
      <c r="C180" s="269"/>
      <c r="E180" s="269"/>
      <c r="H180" s="269"/>
      <c r="J180" s="269"/>
      <c r="K180" s="269"/>
      <c r="L180" s="269"/>
      <c r="M180" s="269"/>
      <c r="N180" s="269"/>
      <c r="O180" s="269"/>
    </row>
    <row r="181" spans="2:15" ht="9.75" customHeight="1" x14ac:dyDescent="0.2">
      <c r="B181" s="269"/>
      <c r="C181" s="269"/>
      <c r="E181" s="269"/>
      <c r="H181" s="269"/>
      <c r="J181" s="269"/>
      <c r="K181" s="269"/>
      <c r="L181" s="269"/>
      <c r="M181" s="269"/>
      <c r="N181" s="269"/>
      <c r="O181" s="269"/>
    </row>
    <row r="182" spans="2:15" ht="9.75" customHeight="1" x14ac:dyDescent="0.2">
      <c r="B182" s="269"/>
      <c r="C182" s="269"/>
      <c r="E182" s="269"/>
      <c r="H182" s="269"/>
      <c r="J182" s="269"/>
      <c r="K182" s="269"/>
      <c r="L182" s="269"/>
      <c r="M182" s="269"/>
      <c r="N182" s="269"/>
      <c r="O182" s="269"/>
    </row>
    <row r="183" spans="2:15" ht="9.75" customHeight="1" x14ac:dyDescent="0.2">
      <c r="B183" s="269"/>
      <c r="C183" s="269"/>
      <c r="E183" s="269"/>
      <c r="H183" s="269"/>
      <c r="J183" s="269"/>
      <c r="K183" s="269"/>
      <c r="L183" s="269"/>
      <c r="M183" s="269"/>
      <c r="N183" s="269"/>
      <c r="O183" s="269"/>
    </row>
    <row r="184" spans="2:15" ht="9.75" customHeight="1" x14ac:dyDescent="0.2">
      <c r="B184" s="269"/>
      <c r="C184" s="269"/>
      <c r="E184" s="269"/>
      <c r="H184" s="269"/>
      <c r="J184" s="269"/>
      <c r="K184" s="269"/>
      <c r="L184" s="269"/>
      <c r="M184" s="269"/>
      <c r="N184" s="269"/>
      <c r="O184" s="269"/>
    </row>
    <row r="185" spans="2:15" ht="9.75" customHeight="1" x14ac:dyDescent="0.2">
      <c r="B185" s="269"/>
      <c r="C185" s="269"/>
      <c r="E185" s="269"/>
      <c r="H185" s="269"/>
      <c r="J185" s="269"/>
      <c r="K185" s="269"/>
      <c r="L185" s="269"/>
      <c r="M185" s="269"/>
      <c r="N185" s="269"/>
      <c r="O185" s="269"/>
    </row>
    <row r="186" spans="2:15" ht="9.75" customHeight="1" x14ac:dyDescent="0.2">
      <c r="B186" s="269"/>
      <c r="C186" s="269"/>
      <c r="E186" s="269"/>
      <c r="H186" s="269"/>
      <c r="J186" s="269"/>
      <c r="K186" s="269"/>
      <c r="L186" s="269"/>
      <c r="M186" s="269"/>
      <c r="N186" s="269"/>
      <c r="O186" s="269"/>
    </row>
    <row r="187" spans="2:15" ht="9.75" customHeight="1" x14ac:dyDescent="0.2">
      <c r="B187" s="269"/>
      <c r="C187" s="269"/>
      <c r="E187" s="269"/>
      <c r="H187" s="269"/>
      <c r="J187" s="269"/>
      <c r="K187" s="269"/>
      <c r="L187" s="269"/>
      <c r="M187" s="269"/>
      <c r="N187" s="269"/>
      <c r="O187" s="269"/>
    </row>
    <row r="188" spans="2:15" ht="9.75" customHeight="1" x14ac:dyDescent="0.2">
      <c r="B188" s="269"/>
      <c r="C188" s="269"/>
      <c r="E188" s="269"/>
      <c r="H188" s="269"/>
      <c r="J188" s="269"/>
      <c r="K188" s="269"/>
      <c r="L188" s="269"/>
      <c r="M188" s="269"/>
      <c r="N188" s="269"/>
      <c r="O188" s="269"/>
    </row>
    <row r="189" spans="2:15" ht="9.75" customHeight="1" x14ac:dyDescent="0.2">
      <c r="B189" s="269"/>
      <c r="C189" s="269"/>
      <c r="E189" s="269"/>
      <c r="H189" s="269"/>
      <c r="J189" s="269"/>
      <c r="K189" s="269"/>
      <c r="L189" s="269"/>
      <c r="M189" s="269"/>
      <c r="N189" s="269"/>
      <c r="O189" s="269"/>
    </row>
    <row r="190" spans="2:15" ht="9.75" customHeight="1" x14ac:dyDescent="0.2">
      <c r="B190" s="269"/>
      <c r="C190" s="269"/>
      <c r="E190" s="269"/>
      <c r="H190" s="269"/>
      <c r="J190" s="269"/>
      <c r="K190" s="269"/>
      <c r="L190" s="269"/>
      <c r="M190" s="269"/>
      <c r="N190" s="269"/>
      <c r="O190" s="269"/>
    </row>
    <row r="191" spans="2:15" ht="9.75" customHeight="1" x14ac:dyDescent="0.2">
      <c r="B191" s="269"/>
      <c r="C191" s="269"/>
      <c r="E191" s="269"/>
      <c r="H191" s="269"/>
      <c r="J191" s="269"/>
      <c r="K191" s="269"/>
      <c r="L191" s="269"/>
      <c r="M191" s="269"/>
      <c r="N191" s="269"/>
      <c r="O191" s="269"/>
    </row>
    <row r="192" spans="2:15" ht="9.75" customHeight="1" x14ac:dyDescent="0.2">
      <c r="B192" s="269"/>
      <c r="C192" s="269"/>
      <c r="E192" s="269"/>
      <c r="H192" s="269"/>
      <c r="J192" s="269"/>
      <c r="K192" s="269"/>
      <c r="L192" s="269"/>
      <c r="M192" s="269"/>
      <c r="N192" s="269"/>
      <c r="O192" s="269"/>
    </row>
    <row r="193" spans="2:15" ht="9.75" customHeight="1" x14ac:dyDescent="0.2">
      <c r="B193" s="269"/>
      <c r="C193" s="269"/>
      <c r="E193" s="269"/>
      <c r="H193" s="269"/>
      <c r="J193" s="269"/>
      <c r="K193" s="269"/>
      <c r="L193" s="269"/>
      <c r="M193" s="269"/>
      <c r="N193" s="269"/>
      <c r="O193" s="269"/>
    </row>
    <row r="194" spans="2:15" ht="9.75" customHeight="1" x14ac:dyDescent="0.2">
      <c r="B194" s="269"/>
      <c r="C194" s="269"/>
      <c r="E194" s="269"/>
      <c r="H194" s="269"/>
      <c r="J194" s="269"/>
      <c r="K194" s="269"/>
      <c r="L194" s="269"/>
      <c r="M194" s="269"/>
      <c r="N194" s="269"/>
      <c r="O194" s="269"/>
    </row>
    <row r="195" spans="2:15" ht="9.75" customHeight="1" x14ac:dyDescent="0.2">
      <c r="B195" s="269"/>
      <c r="C195" s="269"/>
      <c r="E195" s="269"/>
      <c r="H195" s="269"/>
      <c r="J195" s="269"/>
      <c r="K195" s="269"/>
      <c r="L195" s="269"/>
      <c r="M195" s="269"/>
      <c r="N195" s="269"/>
      <c r="O195" s="269"/>
    </row>
    <row r="196" spans="2:15" ht="9.75" customHeight="1" x14ac:dyDescent="0.2">
      <c r="B196" s="269"/>
      <c r="C196" s="269"/>
      <c r="E196" s="269"/>
      <c r="H196" s="269"/>
      <c r="J196" s="269"/>
      <c r="K196" s="269"/>
      <c r="L196" s="269"/>
      <c r="M196" s="269"/>
      <c r="N196" s="269"/>
      <c r="O196" s="269"/>
    </row>
    <row r="197" spans="2:15" ht="9.75" customHeight="1" x14ac:dyDescent="0.2">
      <c r="B197" s="269"/>
      <c r="C197" s="269"/>
      <c r="E197" s="269"/>
      <c r="H197" s="269"/>
      <c r="J197" s="269"/>
      <c r="K197" s="269"/>
      <c r="L197" s="269"/>
      <c r="M197" s="269"/>
      <c r="N197" s="269"/>
      <c r="O197" s="269"/>
    </row>
    <row r="198" spans="2:15" ht="9.75" customHeight="1" x14ac:dyDescent="0.2">
      <c r="B198" s="269"/>
      <c r="C198" s="269"/>
      <c r="E198" s="269"/>
      <c r="H198" s="269"/>
      <c r="J198" s="269"/>
      <c r="K198" s="269"/>
      <c r="L198" s="269"/>
      <c r="M198" s="269"/>
      <c r="N198" s="269"/>
      <c r="O198" s="269"/>
    </row>
    <row r="199" spans="2:15" ht="9.75" customHeight="1" x14ac:dyDescent="0.2">
      <c r="B199" s="269"/>
      <c r="C199" s="269"/>
      <c r="E199" s="269"/>
      <c r="H199" s="269"/>
      <c r="J199" s="269"/>
      <c r="K199" s="269"/>
      <c r="L199" s="269"/>
      <c r="M199" s="269"/>
      <c r="N199" s="269"/>
      <c r="O199" s="269"/>
    </row>
    <row r="200" spans="2:15" ht="9.75" customHeight="1" x14ac:dyDescent="0.2">
      <c r="B200" s="269"/>
      <c r="C200" s="269"/>
      <c r="E200" s="269"/>
      <c r="H200" s="269"/>
      <c r="J200" s="269"/>
      <c r="K200" s="269"/>
      <c r="L200" s="269"/>
      <c r="M200" s="269"/>
      <c r="N200" s="269"/>
      <c r="O200" s="269"/>
    </row>
    <row r="201" spans="2:15" ht="9.75" customHeight="1" x14ac:dyDescent="0.2">
      <c r="B201" s="269"/>
      <c r="C201" s="269"/>
      <c r="E201" s="269"/>
      <c r="H201" s="269"/>
      <c r="J201" s="269"/>
      <c r="K201" s="269"/>
      <c r="L201" s="269"/>
      <c r="M201" s="269"/>
      <c r="N201" s="269"/>
      <c r="O201" s="269"/>
    </row>
    <row r="202" spans="2:15" ht="9.75" customHeight="1" x14ac:dyDescent="0.2">
      <c r="B202" s="269"/>
      <c r="C202" s="269"/>
      <c r="E202" s="269"/>
      <c r="H202" s="269"/>
      <c r="J202" s="269"/>
      <c r="K202" s="269"/>
      <c r="L202" s="269"/>
      <c r="M202" s="269"/>
      <c r="N202" s="269"/>
      <c r="O202" s="269"/>
    </row>
    <row r="203" spans="2:15" ht="9.75" customHeight="1" x14ac:dyDescent="0.2">
      <c r="B203" s="269"/>
      <c r="C203" s="269"/>
      <c r="E203" s="269"/>
      <c r="H203" s="269"/>
      <c r="J203" s="269"/>
      <c r="K203" s="269"/>
      <c r="L203" s="269"/>
      <c r="M203" s="269"/>
      <c r="N203" s="269"/>
      <c r="O203" s="269"/>
    </row>
    <row r="204" spans="2:15" ht="9.75" customHeight="1" x14ac:dyDescent="0.2">
      <c r="B204" s="269"/>
      <c r="C204" s="269"/>
      <c r="E204" s="269"/>
      <c r="H204" s="269"/>
      <c r="J204" s="269"/>
      <c r="K204" s="269"/>
      <c r="L204" s="269"/>
      <c r="M204" s="269"/>
      <c r="N204" s="269"/>
      <c r="O204" s="269"/>
    </row>
    <row r="205" spans="2:15" ht="9.75" customHeight="1" x14ac:dyDescent="0.2">
      <c r="B205" s="269"/>
      <c r="C205" s="269"/>
      <c r="E205" s="269"/>
      <c r="H205" s="269"/>
      <c r="J205" s="269"/>
      <c r="K205" s="269"/>
      <c r="L205" s="269"/>
      <c r="M205" s="269"/>
      <c r="N205" s="269"/>
      <c r="O205" s="269"/>
    </row>
    <row r="206" spans="2:15" ht="9.75" customHeight="1" x14ac:dyDescent="0.2">
      <c r="B206" s="269"/>
      <c r="C206" s="269"/>
      <c r="E206" s="269"/>
      <c r="H206" s="269"/>
      <c r="J206" s="269"/>
      <c r="K206" s="269"/>
      <c r="L206" s="269"/>
      <c r="M206" s="269"/>
      <c r="N206" s="269"/>
      <c r="O206" s="269"/>
    </row>
    <row r="207" spans="2:15" ht="9.75" customHeight="1" x14ac:dyDescent="0.2">
      <c r="B207" s="269"/>
      <c r="C207" s="269"/>
      <c r="E207" s="269"/>
      <c r="H207" s="269"/>
      <c r="J207" s="269"/>
      <c r="K207" s="269"/>
      <c r="L207" s="269"/>
      <c r="M207" s="269"/>
      <c r="N207" s="269"/>
      <c r="O207" s="269"/>
    </row>
    <row r="208" spans="2:15" ht="9.75" customHeight="1" x14ac:dyDescent="0.2">
      <c r="B208" s="269"/>
      <c r="C208" s="269"/>
      <c r="E208" s="269"/>
      <c r="H208" s="269"/>
      <c r="J208" s="269"/>
      <c r="K208" s="269"/>
      <c r="L208" s="269"/>
      <c r="M208" s="269"/>
      <c r="N208" s="269"/>
      <c r="O208" s="269"/>
    </row>
    <row r="209" spans="2:15" ht="9.75" customHeight="1" x14ac:dyDescent="0.2">
      <c r="B209" s="269"/>
      <c r="C209" s="269"/>
      <c r="E209" s="269"/>
      <c r="H209" s="269"/>
      <c r="J209" s="269"/>
      <c r="K209" s="269"/>
      <c r="L209" s="269"/>
      <c r="M209" s="269"/>
      <c r="N209" s="269"/>
      <c r="O209" s="269"/>
    </row>
    <row r="210" spans="2:15" ht="9.75" customHeight="1" x14ac:dyDescent="0.2">
      <c r="B210" s="269"/>
      <c r="C210" s="269"/>
      <c r="E210" s="269"/>
      <c r="H210" s="269"/>
      <c r="J210" s="269"/>
      <c r="K210" s="269"/>
      <c r="L210" s="269"/>
      <c r="M210" s="269"/>
      <c r="N210" s="269"/>
      <c r="O210" s="269"/>
    </row>
    <row r="211" spans="2:15" ht="9.75" customHeight="1" x14ac:dyDescent="0.2">
      <c r="B211" s="269"/>
      <c r="C211" s="269"/>
      <c r="E211" s="269"/>
      <c r="H211" s="269"/>
      <c r="J211" s="269"/>
      <c r="K211" s="269"/>
      <c r="L211" s="269"/>
      <c r="M211" s="269"/>
      <c r="N211" s="269"/>
      <c r="O211" s="269"/>
    </row>
    <row r="212" spans="2:15" ht="9.75" customHeight="1" x14ac:dyDescent="0.2">
      <c r="B212" s="269"/>
      <c r="C212" s="269"/>
      <c r="E212" s="269"/>
      <c r="H212" s="269"/>
      <c r="J212" s="269"/>
      <c r="K212" s="269"/>
      <c r="L212" s="269"/>
      <c r="M212" s="269"/>
      <c r="N212" s="269"/>
      <c r="O212" s="269"/>
    </row>
    <row r="213" spans="2:15" ht="9.75" customHeight="1" x14ac:dyDescent="0.2">
      <c r="B213" s="269"/>
      <c r="C213" s="269"/>
      <c r="E213" s="269"/>
      <c r="H213" s="269"/>
      <c r="J213" s="269"/>
      <c r="K213" s="269"/>
      <c r="L213" s="269"/>
      <c r="M213" s="269"/>
      <c r="N213" s="269"/>
      <c r="O213" s="269"/>
    </row>
    <row r="214" spans="2:15" ht="9.75" customHeight="1" x14ac:dyDescent="0.2">
      <c r="B214" s="269"/>
      <c r="C214" s="269"/>
      <c r="E214" s="269"/>
      <c r="H214" s="269"/>
      <c r="J214" s="269"/>
      <c r="K214" s="269"/>
      <c r="L214" s="269"/>
      <c r="M214" s="269"/>
      <c r="N214" s="269"/>
      <c r="O214" s="269"/>
    </row>
    <row r="215" spans="2:15" ht="9.75" customHeight="1" x14ac:dyDescent="0.2">
      <c r="B215" s="269"/>
      <c r="C215" s="269"/>
      <c r="E215" s="269"/>
      <c r="H215" s="269"/>
      <c r="J215" s="269"/>
      <c r="K215" s="269"/>
      <c r="L215" s="269"/>
      <c r="M215" s="269"/>
      <c r="N215" s="269"/>
      <c r="O215" s="269"/>
    </row>
    <row r="216" spans="2:15" ht="9.75" customHeight="1" x14ac:dyDescent="0.2">
      <c r="B216" s="269"/>
      <c r="C216" s="269"/>
      <c r="E216" s="269"/>
      <c r="H216" s="269"/>
      <c r="J216" s="269"/>
      <c r="K216" s="269"/>
      <c r="L216" s="269"/>
      <c r="M216" s="269"/>
      <c r="N216" s="269"/>
      <c r="O216" s="269"/>
    </row>
    <row r="217" spans="2:15" ht="9.75" customHeight="1" x14ac:dyDescent="0.2">
      <c r="B217" s="269"/>
      <c r="C217" s="269"/>
      <c r="E217" s="269"/>
      <c r="H217" s="269"/>
      <c r="J217" s="269"/>
      <c r="K217" s="269"/>
      <c r="L217" s="269"/>
      <c r="M217" s="269"/>
      <c r="N217" s="269"/>
      <c r="O217" s="269"/>
    </row>
    <row r="218" spans="2:15" ht="9.75" customHeight="1" x14ac:dyDescent="0.2">
      <c r="B218" s="269"/>
      <c r="C218" s="269"/>
      <c r="E218" s="269"/>
      <c r="H218" s="269"/>
      <c r="J218" s="269"/>
      <c r="K218" s="269"/>
      <c r="L218" s="269"/>
      <c r="M218" s="269"/>
      <c r="N218" s="269"/>
      <c r="O218" s="269"/>
    </row>
    <row r="219" spans="2:15" ht="9.75" customHeight="1" x14ac:dyDescent="0.2">
      <c r="B219" s="269"/>
      <c r="C219" s="269"/>
      <c r="E219" s="269"/>
      <c r="H219" s="269"/>
      <c r="J219" s="269"/>
      <c r="K219" s="269"/>
      <c r="L219" s="269"/>
      <c r="M219" s="269"/>
      <c r="N219" s="269"/>
      <c r="O219" s="269"/>
    </row>
    <row r="220" spans="2:15" ht="9.75" customHeight="1" x14ac:dyDescent="0.2">
      <c r="B220" s="269"/>
      <c r="C220" s="269"/>
      <c r="E220" s="269"/>
      <c r="H220" s="269"/>
      <c r="J220" s="269"/>
      <c r="K220" s="269"/>
      <c r="L220" s="269"/>
      <c r="M220" s="269"/>
      <c r="N220" s="269"/>
      <c r="O220" s="269"/>
    </row>
    <row r="221" spans="2:15" ht="9.75" customHeight="1" x14ac:dyDescent="0.2">
      <c r="B221" s="269"/>
      <c r="C221" s="269"/>
      <c r="E221" s="269"/>
      <c r="H221" s="269"/>
      <c r="J221" s="269"/>
      <c r="K221" s="269"/>
      <c r="L221" s="269"/>
      <c r="M221" s="269"/>
      <c r="N221" s="269"/>
      <c r="O221" s="269"/>
    </row>
    <row r="222" spans="2:15" ht="9.75" customHeight="1" x14ac:dyDescent="0.2">
      <c r="B222" s="269"/>
      <c r="C222" s="269"/>
      <c r="E222" s="269"/>
      <c r="H222" s="269"/>
      <c r="J222" s="269"/>
      <c r="K222" s="269"/>
      <c r="L222" s="269"/>
      <c r="M222" s="269"/>
      <c r="N222" s="269"/>
      <c r="O222" s="269"/>
    </row>
    <row r="223" spans="2:15" ht="9.75" customHeight="1" x14ac:dyDescent="0.2">
      <c r="B223" s="269"/>
      <c r="C223" s="269"/>
      <c r="E223" s="269"/>
      <c r="H223" s="269"/>
      <c r="J223" s="269"/>
      <c r="K223" s="269"/>
      <c r="L223" s="269"/>
      <c r="M223" s="269"/>
      <c r="N223" s="269"/>
      <c r="O223" s="269"/>
    </row>
    <row r="224" spans="2:15" ht="9.75" customHeight="1" x14ac:dyDescent="0.2">
      <c r="B224" s="269"/>
      <c r="C224" s="269"/>
      <c r="E224" s="269"/>
      <c r="H224" s="269"/>
      <c r="J224" s="269"/>
      <c r="K224" s="269"/>
      <c r="L224" s="269"/>
      <c r="M224" s="269"/>
      <c r="N224" s="269"/>
      <c r="O224" s="269"/>
    </row>
    <row r="225" spans="2:15" ht="9.75" customHeight="1" x14ac:dyDescent="0.2">
      <c r="B225" s="269"/>
      <c r="C225" s="269"/>
      <c r="E225" s="269"/>
      <c r="H225" s="269"/>
      <c r="J225" s="269"/>
      <c r="K225" s="269"/>
      <c r="L225" s="269"/>
      <c r="M225" s="269"/>
      <c r="N225" s="269"/>
      <c r="O225" s="269"/>
    </row>
    <row r="226" spans="2:15" ht="9.75" customHeight="1" x14ac:dyDescent="0.2">
      <c r="B226" s="269"/>
      <c r="C226" s="269"/>
      <c r="E226" s="269"/>
      <c r="H226" s="269"/>
      <c r="J226" s="269"/>
      <c r="K226" s="269"/>
      <c r="L226" s="269"/>
      <c r="M226" s="269"/>
      <c r="N226" s="269"/>
      <c r="O226" s="269"/>
    </row>
    <row r="227" spans="2:15" ht="9.75" customHeight="1" x14ac:dyDescent="0.2">
      <c r="B227" s="269"/>
      <c r="C227" s="269"/>
      <c r="E227" s="269"/>
      <c r="H227" s="269"/>
      <c r="J227" s="269"/>
      <c r="K227" s="269"/>
      <c r="L227" s="269"/>
      <c r="M227" s="269"/>
      <c r="N227" s="269"/>
      <c r="O227" s="269"/>
    </row>
    <row r="228" spans="2:15" ht="9.75" customHeight="1" x14ac:dyDescent="0.2">
      <c r="B228" s="269"/>
      <c r="C228" s="269"/>
      <c r="E228" s="269"/>
      <c r="H228" s="269"/>
      <c r="J228" s="269"/>
      <c r="K228" s="269"/>
      <c r="L228" s="269"/>
      <c r="M228" s="269"/>
      <c r="N228" s="269"/>
      <c r="O228" s="269"/>
    </row>
    <row r="229" spans="2:15" ht="9.75" customHeight="1" x14ac:dyDescent="0.2">
      <c r="B229" s="269"/>
      <c r="C229" s="269"/>
      <c r="E229" s="269"/>
      <c r="H229" s="269"/>
      <c r="J229" s="269"/>
      <c r="K229" s="269"/>
      <c r="L229" s="269"/>
      <c r="M229" s="269"/>
      <c r="N229" s="269"/>
      <c r="O229" s="269"/>
    </row>
    <row r="230" spans="2:15" ht="9.75" customHeight="1" x14ac:dyDescent="0.2">
      <c r="B230" s="269"/>
      <c r="C230" s="269"/>
      <c r="E230" s="269"/>
      <c r="H230" s="269"/>
      <c r="J230" s="269"/>
      <c r="K230" s="269"/>
      <c r="L230" s="269"/>
      <c r="M230" s="269"/>
      <c r="N230" s="269"/>
      <c r="O230" s="269"/>
    </row>
    <row r="231" spans="2:15" ht="9.75" customHeight="1" x14ac:dyDescent="0.2">
      <c r="B231" s="269"/>
      <c r="C231" s="269"/>
      <c r="E231" s="269"/>
      <c r="H231" s="269"/>
      <c r="J231" s="269"/>
      <c r="K231" s="269"/>
      <c r="L231" s="269"/>
      <c r="M231" s="269"/>
      <c r="N231" s="269"/>
      <c r="O231" s="269"/>
    </row>
    <row r="232" spans="2:15" ht="9.75" customHeight="1" x14ac:dyDescent="0.2">
      <c r="B232" s="269"/>
      <c r="C232" s="269"/>
      <c r="E232" s="269"/>
      <c r="H232" s="269"/>
      <c r="J232" s="269"/>
      <c r="K232" s="269"/>
      <c r="L232" s="269"/>
      <c r="M232" s="269"/>
      <c r="N232" s="269"/>
      <c r="O232" s="269"/>
    </row>
    <row r="233" spans="2:15" ht="9.75" customHeight="1" x14ac:dyDescent="0.2">
      <c r="B233" s="269"/>
      <c r="C233" s="269"/>
      <c r="E233" s="269"/>
      <c r="H233" s="269"/>
      <c r="J233" s="269"/>
      <c r="K233" s="269"/>
      <c r="L233" s="269"/>
      <c r="M233" s="269"/>
      <c r="N233" s="269"/>
      <c r="O233" s="269"/>
    </row>
    <row r="234" spans="2:15" ht="9.75" customHeight="1" x14ac:dyDescent="0.2">
      <c r="B234" s="269"/>
      <c r="C234" s="269"/>
      <c r="E234" s="269"/>
      <c r="H234" s="269"/>
      <c r="J234" s="269"/>
      <c r="K234" s="269"/>
      <c r="L234" s="269"/>
      <c r="M234" s="269"/>
      <c r="N234" s="269"/>
      <c r="O234" s="269"/>
    </row>
    <row r="235" spans="2:15" ht="9.75" customHeight="1" x14ac:dyDescent="0.2">
      <c r="B235" s="269"/>
      <c r="C235" s="269"/>
      <c r="E235" s="269"/>
      <c r="H235" s="269"/>
      <c r="J235" s="269"/>
      <c r="K235" s="269"/>
      <c r="L235" s="269"/>
      <c r="M235" s="269"/>
      <c r="N235" s="269"/>
      <c r="O235" s="269"/>
    </row>
    <row r="236" spans="2:15" ht="9.75" customHeight="1" x14ac:dyDescent="0.2">
      <c r="B236" s="269"/>
      <c r="C236" s="269"/>
      <c r="E236" s="269"/>
      <c r="H236" s="269"/>
      <c r="J236" s="269"/>
      <c r="K236" s="269"/>
      <c r="L236" s="269"/>
      <c r="M236" s="269"/>
      <c r="N236" s="269"/>
      <c r="O236" s="269"/>
    </row>
    <row r="237" spans="2:15" ht="9.75" customHeight="1" x14ac:dyDescent="0.2">
      <c r="B237" s="269"/>
      <c r="C237" s="269"/>
      <c r="E237" s="269"/>
      <c r="H237" s="269"/>
      <c r="J237" s="269"/>
      <c r="K237" s="269"/>
      <c r="L237" s="269"/>
      <c r="M237" s="269"/>
      <c r="N237" s="269"/>
      <c r="O237" s="269"/>
    </row>
    <row r="238" spans="2:15" ht="9.75" customHeight="1" x14ac:dyDescent="0.2">
      <c r="B238" s="269"/>
      <c r="C238" s="269"/>
      <c r="E238" s="269"/>
      <c r="H238" s="269"/>
      <c r="J238" s="269"/>
      <c r="K238" s="269"/>
      <c r="L238" s="269"/>
      <c r="M238" s="269"/>
      <c r="N238" s="269"/>
      <c r="O238" s="269"/>
    </row>
    <row r="239" spans="2:15" ht="9.75" customHeight="1" x14ac:dyDescent="0.2">
      <c r="B239" s="269"/>
      <c r="C239" s="269"/>
      <c r="E239" s="269"/>
      <c r="H239" s="269"/>
      <c r="J239" s="269"/>
      <c r="K239" s="269"/>
      <c r="L239" s="269"/>
      <c r="M239" s="269"/>
      <c r="N239" s="269"/>
      <c r="O239" s="269"/>
    </row>
    <row r="240" spans="2:15" ht="9.75" customHeight="1" x14ac:dyDescent="0.2">
      <c r="B240" s="269"/>
      <c r="C240" s="269"/>
      <c r="E240" s="269"/>
      <c r="H240" s="269"/>
      <c r="J240" s="269"/>
      <c r="K240" s="269"/>
      <c r="L240" s="269"/>
      <c r="M240" s="269"/>
      <c r="N240" s="269"/>
      <c r="O240" s="269"/>
    </row>
    <row r="241" spans="2:15" ht="9.75" customHeight="1" x14ac:dyDescent="0.2">
      <c r="B241" s="269"/>
      <c r="C241" s="269"/>
      <c r="E241" s="269"/>
      <c r="H241" s="269"/>
      <c r="J241" s="269"/>
      <c r="K241" s="269"/>
      <c r="L241" s="269"/>
      <c r="M241" s="269"/>
      <c r="N241" s="269"/>
      <c r="O241" s="269"/>
    </row>
    <row r="242" spans="2:15" ht="9.75" customHeight="1" x14ac:dyDescent="0.2">
      <c r="B242" s="269"/>
      <c r="C242" s="269"/>
      <c r="E242" s="269"/>
      <c r="H242" s="269"/>
      <c r="J242" s="269"/>
      <c r="K242" s="269"/>
      <c r="L242" s="269"/>
      <c r="M242" s="269"/>
      <c r="N242" s="269"/>
      <c r="O242" s="269"/>
    </row>
    <row r="243" spans="2:15" ht="9.75" customHeight="1" x14ac:dyDescent="0.2">
      <c r="B243" s="269"/>
      <c r="C243" s="269"/>
      <c r="E243" s="269"/>
      <c r="H243" s="269"/>
      <c r="J243" s="269"/>
      <c r="K243" s="269"/>
      <c r="L243" s="269"/>
      <c r="M243" s="269"/>
      <c r="N243" s="269"/>
      <c r="O243" s="269"/>
    </row>
    <row r="244" spans="2:15" ht="9.75" customHeight="1" x14ac:dyDescent="0.2">
      <c r="B244" s="269"/>
      <c r="C244" s="269"/>
      <c r="E244" s="269"/>
      <c r="H244" s="269"/>
      <c r="J244" s="269"/>
      <c r="K244" s="269"/>
      <c r="L244" s="269"/>
      <c r="M244" s="269"/>
      <c r="N244" s="269"/>
      <c r="O244" s="269"/>
    </row>
    <row r="245" spans="2:15" ht="9.75" customHeight="1" x14ac:dyDescent="0.2">
      <c r="B245" s="269"/>
      <c r="C245" s="269"/>
      <c r="E245" s="269"/>
      <c r="H245" s="269"/>
      <c r="J245" s="269"/>
      <c r="K245" s="269"/>
      <c r="L245" s="269"/>
      <c r="M245" s="269"/>
      <c r="N245" s="269"/>
      <c r="O245" s="269"/>
    </row>
    <row r="246" spans="2:15" ht="9.75" customHeight="1" x14ac:dyDescent="0.2">
      <c r="B246" s="269"/>
      <c r="C246" s="269"/>
      <c r="E246" s="269"/>
      <c r="H246" s="269"/>
      <c r="J246" s="269"/>
      <c r="K246" s="269"/>
      <c r="L246" s="269"/>
      <c r="M246" s="269"/>
      <c r="N246" s="269"/>
      <c r="O246" s="269"/>
    </row>
    <row r="247" spans="2:15" ht="9.75" customHeight="1" x14ac:dyDescent="0.2">
      <c r="B247" s="269"/>
      <c r="C247" s="269"/>
      <c r="E247" s="269"/>
      <c r="H247" s="269"/>
      <c r="J247" s="269"/>
      <c r="K247" s="269"/>
      <c r="L247" s="269"/>
      <c r="M247" s="269"/>
      <c r="N247" s="269"/>
      <c r="O247" s="269"/>
    </row>
    <row r="248" spans="2:15" ht="9.75" customHeight="1" x14ac:dyDescent="0.2">
      <c r="B248" s="269"/>
      <c r="C248" s="269"/>
      <c r="E248" s="269"/>
      <c r="H248" s="269"/>
      <c r="J248" s="269"/>
      <c r="K248" s="269"/>
      <c r="L248" s="269"/>
      <c r="M248" s="269"/>
      <c r="N248" s="269"/>
      <c r="O248" s="269"/>
    </row>
    <row r="249" spans="2:15" ht="9.75" customHeight="1" x14ac:dyDescent="0.2">
      <c r="B249" s="269"/>
      <c r="C249" s="269"/>
      <c r="E249" s="269"/>
      <c r="H249" s="269"/>
      <c r="J249" s="269"/>
      <c r="K249" s="269"/>
      <c r="L249" s="269"/>
      <c r="M249" s="269"/>
      <c r="N249" s="269"/>
      <c r="O249" s="269"/>
    </row>
    <row r="250" spans="2:15" ht="9.75" customHeight="1" x14ac:dyDescent="0.2">
      <c r="B250" s="269"/>
      <c r="C250" s="269"/>
      <c r="E250" s="269"/>
      <c r="H250" s="269"/>
      <c r="J250" s="269"/>
      <c r="K250" s="269"/>
      <c r="L250" s="269"/>
      <c r="M250" s="269"/>
      <c r="N250" s="269"/>
      <c r="O250" s="269"/>
    </row>
    <row r="251" spans="2:15" ht="9.75" customHeight="1" x14ac:dyDescent="0.2">
      <c r="B251" s="269"/>
      <c r="C251" s="269"/>
      <c r="E251" s="269"/>
      <c r="H251" s="269"/>
      <c r="J251" s="269"/>
      <c r="K251" s="269"/>
      <c r="L251" s="269"/>
      <c r="M251" s="269"/>
      <c r="N251" s="269"/>
      <c r="O251" s="269"/>
    </row>
    <row r="252" spans="2:15" ht="9.75" customHeight="1" x14ac:dyDescent="0.2">
      <c r="B252" s="269"/>
      <c r="C252" s="269"/>
      <c r="E252" s="269"/>
      <c r="H252" s="269"/>
      <c r="J252" s="269"/>
      <c r="K252" s="269"/>
      <c r="L252" s="269"/>
      <c r="M252" s="269"/>
      <c r="N252" s="269"/>
      <c r="O252" s="269"/>
    </row>
    <row r="253" spans="2:15" ht="9.75" customHeight="1" x14ac:dyDescent="0.2">
      <c r="B253" s="269"/>
      <c r="C253" s="269"/>
      <c r="E253" s="269"/>
      <c r="H253" s="269"/>
      <c r="J253" s="269"/>
      <c r="K253" s="269"/>
      <c r="L253" s="269"/>
      <c r="M253" s="269"/>
      <c r="N253" s="269"/>
      <c r="O253" s="269"/>
    </row>
    <row r="254" spans="2:15" ht="9.75" customHeight="1" x14ac:dyDescent="0.2">
      <c r="B254" s="269"/>
      <c r="C254" s="269"/>
      <c r="E254" s="269"/>
      <c r="H254" s="269"/>
      <c r="J254" s="269"/>
      <c r="K254" s="269"/>
      <c r="L254" s="269"/>
      <c r="M254" s="269"/>
      <c r="N254" s="269"/>
      <c r="O254" s="269"/>
    </row>
    <row r="255" spans="2:15" ht="9.75" customHeight="1" x14ac:dyDescent="0.2">
      <c r="B255" s="269"/>
      <c r="C255" s="269"/>
      <c r="E255" s="269"/>
      <c r="H255" s="269"/>
      <c r="J255" s="269"/>
      <c r="K255" s="269"/>
      <c r="L255" s="269"/>
      <c r="M255" s="269"/>
      <c r="N255" s="269"/>
      <c r="O255" s="269"/>
    </row>
    <row r="256" spans="2:15" ht="9.75" customHeight="1" x14ac:dyDescent="0.2">
      <c r="B256" s="269"/>
      <c r="C256" s="269"/>
      <c r="E256" s="269"/>
      <c r="H256" s="269"/>
      <c r="J256" s="269"/>
      <c r="K256" s="269"/>
      <c r="L256" s="269"/>
      <c r="M256" s="269"/>
      <c r="N256" s="269"/>
      <c r="O256" s="269"/>
    </row>
    <row r="257" spans="2:15" ht="9.75" customHeight="1" x14ac:dyDescent="0.2">
      <c r="B257" s="269"/>
      <c r="C257" s="269"/>
      <c r="E257" s="269"/>
      <c r="H257" s="269"/>
      <c r="J257" s="269"/>
      <c r="K257" s="269"/>
      <c r="L257" s="269"/>
      <c r="M257" s="269"/>
      <c r="N257" s="269"/>
      <c r="O257" s="269"/>
    </row>
    <row r="258" spans="2:15" ht="9.75" customHeight="1" x14ac:dyDescent="0.2">
      <c r="B258" s="269"/>
      <c r="C258" s="269"/>
      <c r="E258" s="269"/>
      <c r="H258" s="269"/>
      <c r="J258" s="269"/>
      <c r="K258" s="269"/>
      <c r="L258" s="269"/>
      <c r="M258" s="269"/>
      <c r="N258" s="269"/>
      <c r="O258" s="269"/>
    </row>
    <row r="259" spans="2:15" ht="9.75" customHeight="1" x14ac:dyDescent="0.2">
      <c r="B259" s="269"/>
      <c r="C259" s="269"/>
      <c r="E259" s="269"/>
      <c r="H259" s="269"/>
      <c r="J259" s="269"/>
      <c r="K259" s="269"/>
      <c r="L259" s="269"/>
      <c r="M259" s="269"/>
      <c r="N259" s="269"/>
      <c r="O259" s="269"/>
    </row>
    <row r="260" spans="2:15" ht="9.75" customHeight="1" x14ac:dyDescent="0.2">
      <c r="B260" s="269"/>
      <c r="C260" s="269"/>
      <c r="E260" s="269"/>
      <c r="H260" s="269"/>
      <c r="J260" s="269"/>
      <c r="K260" s="269"/>
      <c r="L260" s="269"/>
      <c r="M260" s="269"/>
      <c r="N260" s="269"/>
      <c r="O260" s="269"/>
    </row>
    <row r="261" spans="2:15" ht="9.75" customHeight="1" x14ac:dyDescent="0.2">
      <c r="B261" s="269"/>
      <c r="C261" s="269"/>
      <c r="E261" s="269"/>
      <c r="H261" s="269"/>
      <c r="J261" s="269"/>
      <c r="K261" s="269"/>
      <c r="L261" s="269"/>
      <c r="M261" s="269"/>
      <c r="N261" s="269"/>
      <c r="O261" s="269"/>
    </row>
    <row r="262" spans="2:15" ht="9.75" customHeight="1" x14ac:dyDescent="0.2">
      <c r="B262" s="269"/>
      <c r="C262" s="269"/>
      <c r="E262" s="269"/>
      <c r="H262" s="269"/>
      <c r="J262" s="269"/>
      <c r="K262" s="269"/>
      <c r="L262" s="269"/>
      <c r="M262" s="269"/>
      <c r="N262" s="269"/>
      <c r="O262" s="269"/>
    </row>
    <row r="263" spans="2:15" ht="9.75" customHeight="1" x14ac:dyDescent="0.2">
      <c r="B263" s="269"/>
      <c r="C263" s="269"/>
      <c r="E263" s="269"/>
      <c r="H263" s="269"/>
      <c r="J263" s="269"/>
      <c r="K263" s="269"/>
      <c r="L263" s="269"/>
      <c r="M263" s="269"/>
      <c r="N263" s="269"/>
      <c r="O263" s="269"/>
    </row>
    <row r="264" spans="2:15" ht="9.75" customHeight="1" x14ac:dyDescent="0.2">
      <c r="B264" s="269"/>
      <c r="C264" s="269"/>
      <c r="E264" s="269"/>
      <c r="H264" s="269"/>
      <c r="J264" s="269"/>
      <c r="K264" s="269"/>
      <c r="L264" s="269"/>
      <c r="M264" s="269"/>
      <c r="N264" s="269"/>
      <c r="O264" s="269"/>
    </row>
    <row r="265" spans="2:15" ht="9.75" customHeight="1" x14ac:dyDescent="0.2">
      <c r="B265" s="269"/>
      <c r="C265" s="269"/>
      <c r="E265" s="269"/>
      <c r="H265" s="269"/>
      <c r="J265" s="269"/>
      <c r="K265" s="269"/>
      <c r="L265" s="269"/>
      <c r="M265" s="269"/>
      <c r="N265" s="269"/>
      <c r="O265" s="269"/>
    </row>
    <row r="266" spans="2:15" ht="9.75" customHeight="1" x14ac:dyDescent="0.2">
      <c r="B266" s="269"/>
      <c r="C266" s="269"/>
      <c r="E266" s="269"/>
      <c r="H266" s="269"/>
      <c r="J266" s="269"/>
      <c r="K266" s="269"/>
      <c r="L266" s="269"/>
      <c r="M266" s="269"/>
      <c r="N266" s="269"/>
      <c r="O266" s="269"/>
    </row>
    <row r="267" spans="2:15" ht="9.75" customHeight="1" x14ac:dyDescent="0.2">
      <c r="B267" s="269"/>
      <c r="C267" s="269"/>
      <c r="E267" s="269"/>
      <c r="H267" s="269"/>
      <c r="J267" s="269"/>
      <c r="K267" s="269"/>
      <c r="L267" s="269"/>
      <c r="M267" s="269"/>
      <c r="N267" s="269"/>
      <c r="O267" s="269"/>
    </row>
    <row r="268" spans="2:15" ht="9.75" customHeight="1" x14ac:dyDescent="0.2">
      <c r="B268" s="269"/>
      <c r="C268" s="269"/>
      <c r="E268" s="269"/>
      <c r="H268" s="269"/>
      <c r="J268" s="269"/>
      <c r="K268" s="269"/>
      <c r="L268" s="269"/>
      <c r="M268" s="269"/>
      <c r="N268" s="269"/>
      <c r="O268" s="269"/>
    </row>
    <row r="269" spans="2:15" ht="9.75" customHeight="1" x14ac:dyDescent="0.2">
      <c r="B269" s="269"/>
      <c r="C269" s="269"/>
      <c r="E269" s="269"/>
      <c r="H269" s="269"/>
      <c r="J269" s="269"/>
      <c r="K269" s="269"/>
      <c r="L269" s="269"/>
      <c r="M269" s="269"/>
      <c r="N269" s="269"/>
      <c r="O269" s="269"/>
    </row>
    <row r="270" spans="2:15" ht="9.75" customHeight="1" x14ac:dyDescent="0.2">
      <c r="B270" s="269"/>
      <c r="C270" s="269"/>
      <c r="E270" s="269"/>
      <c r="H270" s="269"/>
      <c r="J270" s="269"/>
      <c r="K270" s="269"/>
      <c r="L270" s="269"/>
      <c r="M270" s="269"/>
      <c r="N270" s="269"/>
      <c r="O270" s="269"/>
    </row>
    <row r="271" spans="2:15" ht="9.75" customHeight="1" x14ac:dyDescent="0.2">
      <c r="B271" s="269"/>
      <c r="C271" s="269"/>
      <c r="E271" s="269"/>
      <c r="H271" s="269"/>
      <c r="J271" s="269"/>
      <c r="K271" s="269"/>
      <c r="L271" s="269"/>
      <c r="M271" s="269"/>
      <c r="N271" s="269"/>
      <c r="O271" s="269"/>
    </row>
    <row r="272" spans="2:15" ht="9.75" customHeight="1" x14ac:dyDescent="0.2">
      <c r="B272" s="269"/>
      <c r="C272" s="269"/>
      <c r="E272" s="269"/>
      <c r="H272" s="269"/>
      <c r="J272" s="269"/>
      <c r="K272" s="269"/>
      <c r="L272" s="269"/>
      <c r="M272" s="269"/>
      <c r="N272" s="269"/>
      <c r="O272" s="269"/>
    </row>
    <row r="273" spans="2:15" ht="9.75" customHeight="1" x14ac:dyDescent="0.2">
      <c r="B273" s="269"/>
      <c r="C273" s="269"/>
      <c r="E273" s="269"/>
      <c r="H273" s="269"/>
      <c r="J273" s="269"/>
      <c r="K273" s="269"/>
      <c r="L273" s="269"/>
      <c r="M273" s="269"/>
      <c r="N273" s="269"/>
      <c r="O273" s="269"/>
    </row>
    <row r="274" spans="2:15" ht="9.75" customHeight="1" x14ac:dyDescent="0.2">
      <c r="B274" s="269"/>
      <c r="C274" s="269"/>
      <c r="E274" s="269"/>
      <c r="H274" s="269"/>
      <c r="J274" s="269"/>
      <c r="K274" s="269"/>
      <c r="L274" s="269"/>
      <c r="M274" s="269"/>
      <c r="N274" s="269"/>
      <c r="O274" s="269"/>
    </row>
    <row r="275" spans="2:15" ht="9.75" customHeight="1" x14ac:dyDescent="0.2">
      <c r="B275" s="269"/>
      <c r="C275" s="269"/>
      <c r="E275" s="269"/>
      <c r="H275" s="269"/>
      <c r="J275" s="269"/>
      <c r="K275" s="269"/>
      <c r="L275" s="269"/>
      <c r="M275" s="269"/>
      <c r="N275" s="269"/>
      <c r="O275" s="269"/>
    </row>
    <row r="276" spans="2:15" ht="9.75" customHeight="1" x14ac:dyDescent="0.2">
      <c r="B276" s="269"/>
      <c r="C276" s="269"/>
      <c r="E276" s="269"/>
      <c r="H276" s="269"/>
      <c r="J276" s="269"/>
      <c r="K276" s="269"/>
      <c r="L276" s="269"/>
      <c r="M276" s="269"/>
      <c r="N276" s="269"/>
      <c r="O276" s="269"/>
    </row>
    <row r="277" spans="2:15" ht="9.75" customHeight="1" x14ac:dyDescent="0.2">
      <c r="B277" s="269"/>
      <c r="C277" s="269"/>
      <c r="E277" s="269"/>
      <c r="H277" s="269"/>
      <c r="J277" s="269"/>
      <c r="K277" s="269"/>
      <c r="L277" s="269"/>
      <c r="M277" s="269"/>
      <c r="N277" s="269"/>
      <c r="O277" s="269"/>
    </row>
    <row r="278" spans="2:15" ht="9.75" customHeight="1" x14ac:dyDescent="0.2">
      <c r="B278" s="269"/>
      <c r="C278" s="269"/>
      <c r="E278" s="269"/>
      <c r="H278" s="269"/>
      <c r="J278" s="269"/>
      <c r="K278" s="269"/>
      <c r="L278" s="269"/>
      <c r="M278" s="269"/>
      <c r="N278" s="269"/>
      <c r="O278" s="269"/>
    </row>
    <row r="279" spans="2:15" ht="9.75" customHeight="1" x14ac:dyDescent="0.2">
      <c r="B279" s="269"/>
      <c r="C279" s="269"/>
      <c r="E279" s="269"/>
      <c r="H279" s="269"/>
      <c r="J279" s="269"/>
      <c r="K279" s="269"/>
      <c r="L279" s="269"/>
      <c r="M279" s="269"/>
      <c r="N279" s="269"/>
      <c r="O279" s="269"/>
    </row>
    <row r="280" spans="2:15" ht="9.75" customHeight="1" x14ac:dyDescent="0.2">
      <c r="B280" s="269"/>
      <c r="C280" s="269"/>
      <c r="E280" s="269"/>
      <c r="H280" s="269"/>
      <c r="J280" s="269"/>
      <c r="K280" s="269"/>
      <c r="L280" s="269"/>
      <c r="M280" s="269"/>
      <c r="N280" s="269"/>
      <c r="O280" s="269"/>
    </row>
    <row r="281" spans="2:15" ht="9.75" customHeight="1" x14ac:dyDescent="0.2">
      <c r="B281" s="269"/>
      <c r="C281" s="269"/>
      <c r="E281" s="269"/>
      <c r="H281" s="269"/>
      <c r="J281" s="269"/>
      <c r="K281" s="269"/>
      <c r="L281" s="269"/>
      <c r="M281" s="269"/>
      <c r="N281" s="269"/>
      <c r="O281" s="269"/>
    </row>
    <row r="282" spans="2:15" ht="9.75" customHeight="1" x14ac:dyDescent="0.2">
      <c r="B282" s="269"/>
      <c r="C282" s="269"/>
      <c r="E282" s="269"/>
      <c r="H282" s="269"/>
      <c r="J282" s="269"/>
      <c r="K282" s="269"/>
      <c r="L282" s="269"/>
      <c r="M282" s="269"/>
      <c r="N282" s="269"/>
      <c r="O282" s="269"/>
    </row>
    <row r="283" spans="2:15" ht="9.75" customHeight="1" x14ac:dyDescent="0.2">
      <c r="B283" s="269"/>
      <c r="C283" s="269"/>
      <c r="E283" s="269"/>
      <c r="H283" s="269"/>
      <c r="J283" s="269"/>
      <c r="K283" s="269"/>
      <c r="L283" s="269"/>
      <c r="M283" s="269"/>
      <c r="N283" s="269"/>
      <c r="O283" s="269"/>
    </row>
    <row r="284" spans="2:15" ht="9.75" customHeight="1" x14ac:dyDescent="0.2">
      <c r="B284" s="269"/>
      <c r="C284" s="269"/>
      <c r="E284" s="269"/>
      <c r="H284" s="269"/>
      <c r="J284" s="269"/>
      <c r="K284" s="269"/>
      <c r="L284" s="269"/>
      <c r="M284" s="269"/>
      <c r="N284" s="269"/>
      <c r="O284" s="269"/>
    </row>
    <row r="285" spans="2:15" ht="9.75" customHeight="1" x14ac:dyDescent="0.2">
      <c r="B285" s="269"/>
      <c r="C285" s="269"/>
      <c r="E285" s="269"/>
      <c r="H285" s="269"/>
      <c r="J285" s="269"/>
      <c r="K285" s="269"/>
      <c r="L285" s="269"/>
      <c r="M285" s="269"/>
      <c r="N285" s="269"/>
      <c r="O285" s="269"/>
    </row>
    <row r="286" spans="2:15" ht="9.75" customHeight="1" x14ac:dyDescent="0.2">
      <c r="B286" s="269"/>
      <c r="C286" s="269"/>
      <c r="E286" s="269"/>
      <c r="H286" s="269"/>
      <c r="J286" s="269"/>
      <c r="K286" s="269"/>
      <c r="L286" s="269"/>
      <c r="M286" s="269"/>
      <c r="N286" s="269"/>
      <c r="O286" s="269"/>
    </row>
    <row r="287" spans="2:15" ht="9.75" customHeight="1" x14ac:dyDescent="0.2">
      <c r="B287" s="269"/>
      <c r="C287" s="269"/>
      <c r="E287" s="269"/>
      <c r="H287" s="269"/>
      <c r="J287" s="269"/>
      <c r="K287" s="269"/>
      <c r="L287" s="269"/>
      <c r="M287" s="269"/>
      <c r="N287" s="269"/>
      <c r="O287" s="269"/>
    </row>
    <row r="288" spans="2:15" ht="9.75" customHeight="1" x14ac:dyDescent="0.2">
      <c r="B288" s="269"/>
      <c r="C288" s="269"/>
      <c r="E288" s="269"/>
      <c r="H288" s="269"/>
      <c r="J288" s="269"/>
      <c r="K288" s="269"/>
      <c r="L288" s="269"/>
      <c r="M288" s="269"/>
      <c r="N288" s="269"/>
      <c r="O288" s="269"/>
    </row>
    <row r="289" spans="2:15" ht="9.75" customHeight="1" x14ac:dyDescent="0.2">
      <c r="B289" s="269"/>
      <c r="C289" s="269"/>
      <c r="E289" s="269"/>
      <c r="H289" s="269"/>
      <c r="J289" s="269"/>
      <c r="K289" s="269"/>
      <c r="L289" s="269"/>
      <c r="M289" s="269"/>
      <c r="N289" s="269"/>
      <c r="O289" s="269"/>
    </row>
    <row r="290" spans="2:15" ht="9.75" customHeight="1" x14ac:dyDescent="0.2">
      <c r="B290" s="269"/>
      <c r="C290" s="269"/>
      <c r="E290" s="269"/>
      <c r="H290" s="269"/>
      <c r="J290" s="269"/>
      <c r="K290" s="269"/>
      <c r="L290" s="269"/>
      <c r="M290" s="269"/>
      <c r="N290" s="269"/>
      <c r="O290" s="269"/>
    </row>
    <row r="291" spans="2:15" ht="9.75" customHeight="1" x14ac:dyDescent="0.2">
      <c r="B291" s="269"/>
      <c r="C291" s="269"/>
      <c r="E291" s="269"/>
      <c r="H291" s="269"/>
      <c r="J291" s="269"/>
      <c r="K291" s="269"/>
      <c r="L291" s="269"/>
      <c r="M291" s="269"/>
      <c r="N291" s="269"/>
      <c r="O291" s="269"/>
    </row>
    <row r="292" spans="2:15" ht="9.75" customHeight="1" x14ac:dyDescent="0.2">
      <c r="B292" s="269"/>
      <c r="C292" s="269"/>
      <c r="E292" s="269"/>
      <c r="H292" s="269"/>
      <c r="J292" s="269"/>
      <c r="K292" s="269"/>
      <c r="L292" s="269"/>
      <c r="M292" s="269"/>
      <c r="N292" s="269"/>
      <c r="O292" s="269"/>
    </row>
    <row r="293" spans="2:15" ht="9.75" customHeight="1" x14ac:dyDescent="0.2">
      <c r="B293" s="269"/>
      <c r="C293" s="269"/>
      <c r="E293" s="269"/>
      <c r="H293" s="269"/>
      <c r="J293" s="269"/>
      <c r="K293" s="269"/>
      <c r="L293" s="269"/>
      <c r="M293" s="269"/>
      <c r="N293" s="269"/>
      <c r="O293" s="269"/>
    </row>
    <row r="294" spans="2:15" ht="9.75" customHeight="1" x14ac:dyDescent="0.2">
      <c r="B294" s="269"/>
      <c r="C294" s="269"/>
      <c r="E294" s="269"/>
      <c r="H294" s="269"/>
      <c r="J294" s="269"/>
      <c r="K294" s="269"/>
      <c r="L294" s="269"/>
      <c r="M294" s="269"/>
      <c r="N294" s="269"/>
      <c r="O294" s="269"/>
    </row>
    <row r="295" spans="2:15" ht="9.75" customHeight="1" x14ac:dyDescent="0.2">
      <c r="B295" s="269"/>
      <c r="C295" s="269"/>
      <c r="E295" s="269"/>
      <c r="H295" s="269"/>
      <c r="J295" s="269"/>
      <c r="K295" s="269"/>
      <c r="L295" s="269"/>
      <c r="M295" s="269"/>
      <c r="N295" s="269"/>
      <c r="O295" s="269"/>
    </row>
    <row r="296" spans="2:15" ht="9.75" customHeight="1" x14ac:dyDescent="0.2">
      <c r="B296" s="269"/>
      <c r="C296" s="269"/>
      <c r="E296" s="269"/>
      <c r="H296" s="269"/>
      <c r="J296" s="269"/>
      <c r="K296" s="269"/>
      <c r="L296" s="269"/>
      <c r="M296" s="269"/>
      <c r="N296" s="269"/>
      <c r="O296" s="269"/>
    </row>
    <row r="297" spans="2:15" ht="9.75" customHeight="1" x14ac:dyDescent="0.2">
      <c r="B297" s="269"/>
      <c r="C297" s="269"/>
      <c r="E297" s="269"/>
      <c r="H297" s="269"/>
      <c r="J297" s="269"/>
      <c r="K297" s="269"/>
      <c r="L297" s="269"/>
      <c r="M297" s="269"/>
      <c r="N297" s="269"/>
      <c r="O297" s="269"/>
    </row>
    <row r="298" spans="2:15" ht="9.75" customHeight="1" x14ac:dyDescent="0.2">
      <c r="B298" s="269"/>
      <c r="C298" s="269"/>
      <c r="E298" s="269"/>
      <c r="H298" s="269"/>
      <c r="J298" s="269"/>
      <c r="K298" s="269"/>
      <c r="L298" s="269"/>
      <c r="M298" s="269"/>
      <c r="N298" s="269"/>
      <c r="O298" s="269"/>
    </row>
    <row r="299" spans="2:15" ht="9.75" customHeight="1" x14ac:dyDescent="0.2">
      <c r="B299" s="269"/>
      <c r="C299" s="269"/>
      <c r="E299" s="269"/>
      <c r="H299" s="269"/>
      <c r="J299" s="269"/>
      <c r="K299" s="269"/>
      <c r="L299" s="269"/>
      <c r="M299" s="269"/>
      <c r="N299" s="269"/>
      <c r="O299" s="269"/>
    </row>
    <row r="300" spans="2:15" ht="9.75" customHeight="1" x14ac:dyDescent="0.2">
      <c r="B300" s="269"/>
      <c r="C300" s="269"/>
      <c r="E300" s="269"/>
      <c r="H300" s="269"/>
      <c r="J300" s="269"/>
      <c r="K300" s="269"/>
      <c r="L300" s="269"/>
      <c r="M300" s="269"/>
      <c r="N300" s="269"/>
      <c r="O300" s="269"/>
    </row>
    <row r="301" spans="2:15" ht="9.75" customHeight="1" x14ac:dyDescent="0.2">
      <c r="B301" s="269"/>
      <c r="C301" s="269"/>
      <c r="E301" s="269"/>
      <c r="H301" s="269"/>
      <c r="J301" s="269"/>
      <c r="K301" s="269"/>
      <c r="L301" s="269"/>
      <c r="M301" s="269"/>
      <c r="N301" s="269"/>
      <c r="O301" s="269"/>
    </row>
    <row r="302" spans="2:15" ht="9.75" customHeight="1" x14ac:dyDescent="0.2">
      <c r="B302" s="269"/>
      <c r="C302" s="269"/>
      <c r="E302" s="269"/>
      <c r="H302" s="269"/>
      <c r="J302" s="269"/>
      <c r="K302" s="269"/>
      <c r="L302" s="269"/>
      <c r="M302" s="269"/>
      <c r="N302" s="269"/>
      <c r="O302" s="269"/>
    </row>
    <row r="303" spans="2:15" ht="9.75" customHeight="1" x14ac:dyDescent="0.2">
      <c r="B303" s="269"/>
      <c r="C303" s="269"/>
      <c r="E303" s="269"/>
      <c r="H303" s="269"/>
      <c r="J303" s="269"/>
      <c r="K303" s="269"/>
      <c r="L303" s="269"/>
      <c r="M303" s="269"/>
      <c r="N303" s="269"/>
      <c r="O303" s="269"/>
    </row>
    <row r="304" spans="2:15" ht="9.75" customHeight="1" x14ac:dyDescent="0.2">
      <c r="B304" s="269"/>
      <c r="C304" s="269"/>
      <c r="E304" s="269"/>
      <c r="H304" s="269"/>
      <c r="J304" s="269"/>
      <c r="K304" s="269"/>
      <c r="L304" s="269"/>
      <c r="M304" s="269"/>
      <c r="N304" s="269"/>
      <c r="O304" s="269"/>
    </row>
    <row r="305" spans="2:15" ht="9.75" customHeight="1" x14ac:dyDescent="0.2">
      <c r="B305" s="269"/>
      <c r="C305" s="269"/>
      <c r="E305" s="269"/>
      <c r="H305" s="269"/>
      <c r="J305" s="269"/>
      <c r="K305" s="269"/>
      <c r="L305" s="269"/>
      <c r="M305" s="269"/>
      <c r="N305" s="269"/>
      <c r="O305" s="269"/>
    </row>
    <row r="306" spans="2:15" ht="9.75" customHeight="1" x14ac:dyDescent="0.2">
      <c r="B306" s="269"/>
      <c r="C306" s="269"/>
      <c r="E306" s="269"/>
      <c r="H306" s="269"/>
      <c r="J306" s="269"/>
      <c r="K306" s="269"/>
      <c r="L306" s="269"/>
      <c r="M306" s="269"/>
      <c r="N306" s="269"/>
      <c r="O306" s="269"/>
    </row>
    <row r="307" spans="2:15" ht="9.75" customHeight="1" x14ac:dyDescent="0.2">
      <c r="B307" s="269"/>
      <c r="C307" s="269"/>
      <c r="E307" s="269"/>
      <c r="H307" s="269"/>
      <c r="J307" s="269"/>
      <c r="K307" s="269"/>
      <c r="L307" s="269"/>
      <c r="M307" s="269"/>
      <c r="N307" s="269"/>
      <c r="O307" s="269"/>
    </row>
    <row r="308" spans="2:15" ht="9.75" customHeight="1" x14ac:dyDescent="0.2">
      <c r="B308" s="269"/>
      <c r="C308" s="269"/>
      <c r="E308" s="269"/>
      <c r="H308" s="269"/>
      <c r="J308" s="269"/>
      <c r="K308" s="269"/>
      <c r="L308" s="269"/>
      <c r="M308" s="269"/>
      <c r="N308" s="269"/>
      <c r="O308" s="269"/>
    </row>
    <row r="309" spans="2:15" ht="9.75" customHeight="1" x14ac:dyDescent="0.2">
      <c r="B309" s="269"/>
      <c r="C309" s="269"/>
      <c r="E309" s="269"/>
      <c r="H309" s="269"/>
      <c r="J309" s="269"/>
      <c r="K309" s="269"/>
      <c r="L309" s="269"/>
      <c r="M309" s="269"/>
      <c r="N309" s="269"/>
      <c r="O309" s="269"/>
    </row>
    <row r="310" spans="2:15" ht="9.75" customHeight="1" x14ac:dyDescent="0.2">
      <c r="B310" s="269"/>
      <c r="C310" s="269"/>
      <c r="E310" s="269"/>
      <c r="H310" s="269"/>
      <c r="J310" s="269"/>
      <c r="K310" s="269"/>
      <c r="L310" s="269"/>
      <c r="M310" s="269"/>
      <c r="N310" s="269"/>
      <c r="O310" s="269"/>
    </row>
    <row r="311" spans="2:15" ht="9.75" customHeight="1" x14ac:dyDescent="0.2">
      <c r="B311" s="269"/>
      <c r="C311" s="269"/>
      <c r="E311" s="269"/>
      <c r="H311" s="269"/>
      <c r="J311" s="269"/>
      <c r="K311" s="269"/>
      <c r="L311" s="269"/>
      <c r="M311" s="269"/>
      <c r="N311" s="269"/>
      <c r="O311" s="269"/>
    </row>
    <row r="312" spans="2:15" ht="9.75" customHeight="1" x14ac:dyDescent="0.2">
      <c r="B312" s="269"/>
      <c r="C312" s="269"/>
      <c r="E312" s="269"/>
      <c r="H312" s="269"/>
      <c r="J312" s="269"/>
      <c r="K312" s="269"/>
      <c r="L312" s="269"/>
      <c r="M312" s="269"/>
      <c r="N312" s="269"/>
      <c r="O312" s="269"/>
    </row>
    <row r="313" spans="2:15" ht="9.75" customHeight="1" x14ac:dyDescent="0.2">
      <c r="B313" s="269"/>
      <c r="C313" s="269"/>
      <c r="E313" s="269"/>
      <c r="H313" s="269"/>
      <c r="J313" s="269"/>
      <c r="K313" s="269"/>
      <c r="L313" s="269"/>
      <c r="M313" s="269"/>
      <c r="N313" s="269"/>
      <c r="O313" s="269"/>
    </row>
    <row r="314" spans="2:15" ht="9.75" customHeight="1" x14ac:dyDescent="0.2">
      <c r="B314" s="269"/>
      <c r="C314" s="269"/>
      <c r="E314" s="269"/>
      <c r="H314" s="269"/>
      <c r="J314" s="269"/>
      <c r="K314" s="269"/>
      <c r="L314" s="269"/>
      <c r="M314" s="269"/>
      <c r="N314" s="269"/>
      <c r="O314" s="269"/>
    </row>
    <row r="315" spans="2:15" ht="9.75" customHeight="1" x14ac:dyDescent="0.2">
      <c r="B315" s="269"/>
      <c r="C315" s="269"/>
      <c r="E315" s="269"/>
      <c r="H315" s="269"/>
      <c r="J315" s="269"/>
      <c r="K315" s="269"/>
      <c r="L315" s="269"/>
      <c r="M315" s="269"/>
      <c r="N315" s="269"/>
      <c r="O315" s="269"/>
    </row>
    <row r="316" spans="2:15" ht="9.75" customHeight="1" x14ac:dyDescent="0.2">
      <c r="B316" s="269"/>
      <c r="C316" s="269"/>
      <c r="E316" s="269"/>
      <c r="H316" s="269"/>
      <c r="J316" s="269"/>
      <c r="K316" s="269"/>
      <c r="L316" s="269"/>
      <c r="M316" s="269"/>
      <c r="N316" s="269"/>
      <c r="O316" s="269"/>
    </row>
    <row r="317" spans="2:15" ht="9.75" customHeight="1" x14ac:dyDescent="0.2">
      <c r="B317" s="269"/>
      <c r="C317" s="269"/>
      <c r="E317" s="269"/>
      <c r="H317" s="269"/>
      <c r="J317" s="269"/>
      <c r="K317" s="269"/>
      <c r="L317" s="269"/>
      <c r="M317" s="269"/>
      <c r="N317" s="269"/>
      <c r="O317" s="269"/>
    </row>
    <row r="318" spans="2:15" ht="9.75" customHeight="1" x14ac:dyDescent="0.2">
      <c r="B318" s="269"/>
      <c r="C318" s="269"/>
      <c r="E318" s="269"/>
      <c r="H318" s="269"/>
      <c r="J318" s="269"/>
      <c r="K318" s="269"/>
      <c r="L318" s="269"/>
      <c r="M318" s="269"/>
      <c r="N318" s="269"/>
      <c r="O318" s="269"/>
    </row>
    <row r="319" spans="2:15" ht="9.75" customHeight="1" x14ac:dyDescent="0.2">
      <c r="B319" s="269"/>
      <c r="C319" s="269"/>
      <c r="E319" s="269"/>
      <c r="H319" s="269"/>
      <c r="J319" s="269"/>
      <c r="K319" s="269"/>
      <c r="L319" s="269"/>
      <c r="M319" s="269"/>
      <c r="N319" s="269"/>
      <c r="O319" s="269"/>
    </row>
    <row r="320" spans="2:15" ht="9.75" customHeight="1" x14ac:dyDescent="0.2">
      <c r="B320" s="269"/>
      <c r="C320" s="269"/>
      <c r="E320" s="269"/>
      <c r="H320" s="269"/>
      <c r="J320" s="269"/>
      <c r="K320" s="269"/>
      <c r="L320" s="269"/>
      <c r="M320" s="269"/>
      <c r="N320" s="269"/>
      <c r="O320" s="269"/>
    </row>
    <row r="321" spans="2:15" ht="9.75" customHeight="1" x14ac:dyDescent="0.2">
      <c r="B321" s="269"/>
      <c r="C321" s="269"/>
      <c r="E321" s="269"/>
      <c r="H321" s="269"/>
      <c r="J321" s="269"/>
      <c r="K321" s="269"/>
      <c r="L321" s="269"/>
      <c r="M321" s="269"/>
      <c r="N321" s="269"/>
      <c r="O321" s="269"/>
    </row>
    <row r="322" spans="2:15" ht="9.75" customHeight="1" x14ac:dyDescent="0.2">
      <c r="B322" s="269"/>
      <c r="C322" s="269"/>
      <c r="E322" s="269"/>
      <c r="H322" s="269"/>
      <c r="J322" s="269"/>
      <c r="K322" s="269"/>
      <c r="L322" s="269"/>
      <c r="M322" s="269"/>
      <c r="N322" s="269"/>
      <c r="O322" s="269"/>
    </row>
    <row r="323" spans="2:15" ht="9.75" customHeight="1" x14ac:dyDescent="0.2">
      <c r="B323" s="269"/>
      <c r="C323" s="269"/>
      <c r="E323" s="269"/>
      <c r="H323" s="269"/>
      <c r="J323" s="269"/>
      <c r="K323" s="269"/>
      <c r="L323" s="269"/>
      <c r="M323" s="269"/>
      <c r="N323" s="269"/>
      <c r="O323" s="269"/>
    </row>
    <row r="324" spans="2:15" ht="9.75" customHeight="1" x14ac:dyDescent="0.2">
      <c r="B324" s="269"/>
      <c r="C324" s="269"/>
      <c r="E324" s="269"/>
      <c r="H324" s="269"/>
      <c r="J324" s="269"/>
      <c r="K324" s="269"/>
      <c r="L324" s="269"/>
      <c r="M324" s="269"/>
      <c r="N324" s="269"/>
      <c r="O324" s="269"/>
    </row>
    <row r="325" spans="2:15" ht="9.75" customHeight="1" x14ac:dyDescent="0.2">
      <c r="B325" s="269"/>
      <c r="C325" s="269"/>
      <c r="E325" s="269"/>
      <c r="H325" s="269"/>
      <c r="J325" s="269"/>
      <c r="K325" s="269"/>
      <c r="L325" s="269"/>
      <c r="M325" s="269"/>
      <c r="N325" s="269"/>
      <c r="O325" s="269"/>
    </row>
    <row r="326" spans="2:15" ht="9.75" customHeight="1" x14ac:dyDescent="0.2">
      <c r="B326" s="269"/>
      <c r="C326" s="269"/>
      <c r="E326" s="269"/>
      <c r="H326" s="269"/>
      <c r="J326" s="269"/>
      <c r="K326" s="269"/>
      <c r="L326" s="269"/>
      <c r="M326" s="269"/>
      <c r="N326" s="269"/>
      <c r="O326" s="269"/>
    </row>
    <row r="327" spans="2:15" ht="9.75" customHeight="1" x14ac:dyDescent="0.2">
      <c r="B327" s="269"/>
      <c r="C327" s="269"/>
      <c r="E327" s="269"/>
      <c r="H327" s="269"/>
      <c r="J327" s="269"/>
      <c r="K327" s="269"/>
      <c r="L327" s="269"/>
      <c r="M327" s="269"/>
      <c r="N327" s="269"/>
      <c r="O327" s="269"/>
    </row>
    <row r="328" spans="2:15" ht="9.75" customHeight="1" x14ac:dyDescent="0.2">
      <c r="B328" s="269"/>
      <c r="C328" s="269"/>
      <c r="E328" s="269"/>
      <c r="H328" s="269"/>
      <c r="J328" s="269"/>
      <c r="K328" s="269"/>
      <c r="L328" s="269"/>
      <c r="M328" s="269"/>
      <c r="N328" s="269"/>
      <c r="O328" s="269"/>
    </row>
    <row r="329" spans="2:15" ht="9.75" customHeight="1" x14ac:dyDescent="0.2">
      <c r="B329" s="269"/>
      <c r="C329" s="269"/>
      <c r="E329" s="269"/>
      <c r="H329" s="269"/>
      <c r="J329" s="269"/>
      <c r="K329" s="269"/>
      <c r="L329" s="269"/>
      <c r="M329" s="269"/>
      <c r="N329" s="269"/>
      <c r="O329" s="269"/>
    </row>
    <row r="330" spans="2:15" ht="9.75" customHeight="1" x14ac:dyDescent="0.2">
      <c r="B330" s="269"/>
      <c r="C330" s="269"/>
      <c r="E330" s="269"/>
      <c r="H330" s="269"/>
      <c r="J330" s="269"/>
      <c r="K330" s="269"/>
      <c r="L330" s="269"/>
      <c r="M330" s="269"/>
      <c r="N330" s="269"/>
      <c r="O330" s="269"/>
    </row>
    <row r="331" spans="2:15" ht="9.75" customHeight="1" x14ac:dyDescent="0.2">
      <c r="B331" s="269"/>
      <c r="C331" s="269"/>
      <c r="E331" s="269"/>
      <c r="H331" s="269"/>
      <c r="J331" s="269"/>
      <c r="K331" s="269"/>
      <c r="L331" s="269"/>
      <c r="M331" s="269"/>
      <c r="N331" s="269"/>
      <c r="O331" s="269"/>
    </row>
    <row r="332" spans="2:15" ht="9.75" customHeight="1" x14ac:dyDescent="0.2">
      <c r="B332" s="269"/>
      <c r="C332" s="269"/>
      <c r="E332" s="269"/>
      <c r="H332" s="269"/>
      <c r="J332" s="269"/>
      <c r="K332" s="269"/>
      <c r="L332" s="269"/>
      <c r="M332" s="269"/>
      <c r="N332" s="269"/>
      <c r="O332" s="269"/>
    </row>
    <row r="333" spans="2:15" ht="9.75" customHeight="1" x14ac:dyDescent="0.2">
      <c r="B333" s="269"/>
      <c r="C333" s="269"/>
      <c r="E333" s="269"/>
      <c r="H333" s="269"/>
      <c r="J333" s="269"/>
      <c r="K333" s="269"/>
      <c r="L333" s="269"/>
      <c r="M333" s="269"/>
      <c r="N333" s="269"/>
      <c r="O333" s="269"/>
    </row>
    <row r="334" spans="2:15" ht="9.75" customHeight="1" x14ac:dyDescent="0.2">
      <c r="B334" s="269"/>
      <c r="C334" s="269"/>
      <c r="E334" s="269"/>
      <c r="H334" s="269"/>
      <c r="J334" s="269"/>
      <c r="K334" s="269"/>
      <c r="L334" s="269"/>
      <c r="M334" s="269"/>
      <c r="N334" s="269"/>
      <c r="O334" s="269"/>
    </row>
    <row r="335" spans="2:15" ht="9.75" customHeight="1" x14ac:dyDescent="0.2">
      <c r="B335" s="269"/>
      <c r="C335" s="269"/>
      <c r="E335" s="269"/>
      <c r="H335" s="269"/>
      <c r="J335" s="269"/>
      <c r="K335" s="269"/>
      <c r="L335" s="269"/>
      <c r="M335" s="269"/>
      <c r="N335" s="269"/>
      <c r="O335" s="269"/>
    </row>
    <row r="336" spans="2:15" ht="9.75" customHeight="1" x14ac:dyDescent="0.2">
      <c r="B336" s="269"/>
      <c r="C336" s="269"/>
      <c r="E336" s="269"/>
      <c r="H336" s="269"/>
      <c r="J336" s="269"/>
      <c r="K336" s="269"/>
      <c r="L336" s="269"/>
      <c r="M336" s="269"/>
      <c r="N336" s="269"/>
      <c r="O336" s="269"/>
    </row>
    <row r="337" spans="2:15" ht="9.75" customHeight="1" x14ac:dyDescent="0.2">
      <c r="B337" s="269"/>
      <c r="C337" s="269"/>
      <c r="E337" s="269"/>
      <c r="H337" s="269"/>
      <c r="J337" s="269"/>
      <c r="K337" s="269"/>
      <c r="L337" s="269"/>
      <c r="M337" s="269"/>
      <c r="N337" s="269"/>
      <c r="O337" s="269"/>
    </row>
    <row r="338" spans="2:15" ht="9.75" customHeight="1" x14ac:dyDescent="0.2">
      <c r="B338" s="269"/>
      <c r="C338" s="269"/>
      <c r="E338" s="269"/>
      <c r="H338" s="269"/>
      <c r="J338" s="269"/>
      <c r="K338" s="269"/>
      <c r="L338" s="269"/>
      <c r="M338" s="269"/>
      <c r="N338" s="269"/>
      <c r="O338" s="269"/>
    </row>
    <row r="339" spans="2:15" ht="9.75" customHeight="1" x14ac:dyDescent="0.2">
      <c r="B339" s="269"/>
      <c r="C339" s="269"/>
      <c r="E339" s="269"/>
      <c r="H339" s="269"/>
      <c r="J339" s="269"/>
      <c r="K339" s="269"/>
      <c r="L339" s="269"/>
      <c r="M339" s="269"/>
      <c r="N339" s="269"/>
      <c r="O339" s="269"/>
    </row>
    <row r="340" spans="2:15" ht="9.75" customHeight="1" x14ac:dyDescent="0.2">
      <c r="B340" s="269"/>
      <c r="C340" s="269"/>
      <c r="E340" s="269"/>
      <c r="H340" s="269"/>
      <c r="J340" s="269"/>
      <c r="K340" s="269"/>
      <c r="L340" s="269"/>
      <c r="M340" s="269"/>
      <c r="N340" s="269"/>
      <c r="O340" s="269"/>
    </row>
    <row r="341" spans="2:15" ht="9.75" customHeight="1" x14ac:dyDescent="0.2">
      <c r="B341" s="269"/>
      <c r="C341" s="269"/>
      <c r="E341" s="269"/>
      <c r="H341" s="269"/>
      <c r="J341" s="269"/>
      <c r="K341" s="269"/>
      <c r="L341" s="269"/>
      <c r="M341" s="269"/>
      <c r="N341" s="269"/>
      <c r="O341" s="269"/>
    </row>
    <row r="342" spans="2:15" ht="9.75" customHeight="1" x14ac:dyDescent="0.2">
      <c r="B342" s="269"/>
      <c r="C342" s="269"/>
      <c r="E342" s="269"/>
      <c r="H342" s="269"/>
      <c r="J342" s="269"/>
      <c r="K342" s="269"/>
      <c r="L342" s="269"/>
      <c r="M342" s="269"/>
      <c r="N342" s="269"/>
      <c r="O342" s="269"/>
    </row>
    <row r="343" spans="2:15" ht="9.75" customHeight="1" x14ac:dyDescent="0.2">
      <c r="B343" s="269"/>
      <c r="C343" s="269"/>
      <c r="E343" s="269"/>
      <c r="H343" s="269"/>
      <c r="J343" s="269"/>
      <c r="K343" s="269"/>
      <c r="L343" s="269"/>
      <c r="M343" s="269"/>
      <c r="N343" s="269"/>
      <c r="O343" s="269"/>
    </row>
    <row r="344" spans="2:15" ht="9.75" customHeight="1" x14ac:dyDescent="0.2">
      <c r="B344" s="269"/>
      <c r="C344" s="269"/>
      <c r="E344" s="269"/>
      <c r="H344" s="269"/>
      <c r="J344" s="269"/>
      <c r="K344" s="269"/>
      <c r="L344" s="269"/>
      <c r="M344" s="269"/>
      <c r="N344" s="269"/>
      <c r="O344" s="269"/>
    </row>
    <row r="345" spans="2:15" ht="9.75" customHeight="1" x14ac:dyDescent="0.2">
      <c r="B345" s="269"/>
      <c r="C345" s="269"/>
      <c r="E345" s="269"/>
      <c r="H345" s="269"/>
      <c r="J345" s="269"/>
      <c r="K345" s="269"/>
      <c r="L345" s="269"/>
      <c r="M345" s="269"/>
      <c r="N345" s="269"/>
      <c r="O345" s="269"/>
    </row>
    <row r="346" spans="2:15" ht="9.75" customHeight="1" x14ac:dyDescent="0.2">
      <c r="B346" s="269"/>
      <c r="C346" s="269"/>
      <c r="E346" s="269"/>
      <c r="H346" s="269"/>
      <c r="J346" s="269"/>
      <c r="K346" s="269"/>
      <c r="L346" s="269"/>
      <c r="M346" s="269"/>
      <c r="N346" s="269"/>
      <c r="O346" s="269"/>
    </row>
    <row r="347" spans="2:15" ht="9.75" customHeight="1" x14ac:dyDescent="0.2">
      <c r="B347" s="269"/>
      <c r="C347" s="269"/>
      <c r="E347" s="269"/>
      <c r="H347" s="269"/>
      <c r="J347" s="269"/>
      <c r="K347" s="269"/>
      <c r="L347" s="269"/>
      <c r="M347" s="269"/>
      <c r="N347" s="269"/>
      <c r="O347" s="269"/>
    </row>
    <row r="348" spans="2:15" ht="9.75" customHeight="1" x14ac:dyDescent="0.2">
      <c r="B348" s="269"/>
      <c r="C348" s="269"/>
      <c r="E348" s="269"/>
      <c r="H348" s="269"/>
      <c r="J348" s="269"/>
      <c r="K348" s="269"/>
      <c r="L348" s="269"/>
      <c r="M348" s="269"/>
      <c r="N348" s="269"/>
      <c r="O348" s="269"/>
    </row>
    <row r="349" spans="2:15" ht="9.75" customHeight="1" x14ac:dyDescent="0.2">
      <c r="B349" s="269"/>
      <c r="C349" s="269"/>
      <c r="E349" s="269"/>
      <c r="H349" s="269"/>
      <c r="J349" s="269"/>
      <c r="K349" s="269"/>
      <c r="L349" s="269"/>
      <c r="M349" s="269"/>
      <c r="N349" s="269"/>
      <c r="O349" s="269"/>
    </row>
    <row r="350" spans="2:15" ht="9.75" customHeight="1" x14ac:dyDescent="0.2">
      <c r="B350" s="269"/>
      <c r="C350" s="269"/>
      <c r="E350" s="269"/>
      <c r="H350" s="269"/>
      <c r="J350" s="269"/>
      <c r="K350" s="269"/>
      <c r="L350" s="269"/>
      <c r="M350" s="269"/>
      <c r="N350" s="269"/>
      <c r="O350" s="269"/>
    </row>
    <row r="351" spans="2:15" ht="9.75" customHeight="1" x14ac:dyDescent="0.2">
      <c r="B351" s="269"/>
      <c r="C351" s="269"/>
      <c r="E351" s="269"/>
      <c r="H351" s="269"/>
      <c r="J351" s="269"/>
      <c r="K351" s="269"/>
      <c r="L351" s="269"/>
      <c r="M351" s="269"/>
      <c r="N351" s="269"/>
      <c r="O351" s="269"/>
    </row>
    <row r="352" spans="2:15" ht="9.75" customHeight="1" x14ac:dyDescent="0.2">
      <c r="B352" s="269"/>
      <c r="C352" s="269"/>
      <c r="E352" s="269"/>
      <c r="H352" s="269"/>
      <c r="J352" s="269"/>
      <c r="K352" s="269"/>
      <c r="L352" s="269"/>
      <c r="M352" s="269"/>
      <c r="N352" s="269"/>
      <c r="O352" s="269"/>
    </row>
    <row r="353" spans="2:15" ht="9.75" customHeight="1" x14ac:dyDescent="0.2">
      <c r="B353" s="269"/>
      <c r="C353" s="269"/>
      <c r="E353" s="269"/>
      <c r="H353" s="269"/>
      <c r="J353" s="269"/>
      <c r="K353" s="269"/>
      <c r="L353" s="269"/>
      <c r="M353" s="269"/>
      <c r="N353" s="269"/>
      <c r="O353" s="269"/>
    </row>
    <row r="354" spans="2:15" ht="9.75" customHeight="1" x14ac:dyDescent="0.2">
      <c r="B354" s="269"/>
      <c r="C354" s="269"/>
      <c r="E354" s="269"/>
      <c r="H354" s="269"/>
      <c r="J354" s="269"/>
      <c r="K354" s="269"/>
      <c r="L354" s="269"/>
      <c r="M354" s="269"/>
      <c r="N354" s="269"/>
      <c r="O354" s="269"/>
    </row>
    <row r="355" spans="2:15" ht="9.75" customHeight="1" x14ac:dyDescent="0.2">
      <c r="B355" s="269"/>
      <c r="C355" s="269"/>
      <c r="E355" s="269"/>
      <c r="H355" s="269"/>
      <c r="J355" s="269"/>
      <c r="K355" s="269"/>
      <c r="L355" s="269"/>
      <c r="M355" s="269"/>
      <c r="N355" s="269"/>
      <c r="O355" s="269"/>
    </row>
    <row r="356" spans="2:15" ht="9.75" customHeight="1" x14ac:dyDescent="0.2">
      <c r="B356" s="269"/>
      <c r="C356" s="269"/>
      <c r="E356" s="269"/>
      <c r="H356" s="269"/>
      <c r="J356" s="269"/>
      <c r="K356" s="269"/>
      <c r="L356" s="269"/>
      <c r="M356" s="269"/>
      <c r="N356" s="269"/>
      <c r="O356" s="269"/>
    </row>
    <row r="357" spans="2:15" ht="9.75" customHeight="1" x14ac:dyDescent="0.2">
      <c r="B357" s="269"/>
      <c r="C357" s="269"/>
      <c r="E357" s="269"/>
      <c r="H357" s="269"/>
      <c r="J357" s="269"/>
      <c r="K357" s="269"/>
      <c r="L357" s="269"/>
      <c r="M357" s="269"/>
      <c r="N357" s="269"/>
      <c r="O357" s="269"/>
    </row>
    <row r="358" spans="2:15" ht="9.75" customHeight="1" x14ac:dyDescent="0.2">
      <c r="B358" s="269"/>
      <c r="C358" s="269"/>
      <c r="E358" s="269"/>
      <c r="H358" s="269"/>
      <c r="J358" s="269"/>
      <c r="K358" s="269"/>
      <c r="L358" s="269"/>
      <c r="M358" s="269"/>
      <c r="N358" s="269"/>
      <c r="O358" s="269"/>
    </row>
    <row r="359" spans="2:15" ht="9.75" customHeight="1" x14ac:dyDescent="0.2">
      <c r="B359" s="269"/>
      <c r="C359" s="269"/>
      <c r="E359" s="269"/>
      <c r="H359" s="269"/>
      <c r="J359" s="269"/>
      <c r="K359" s="269"/>
      <c r="L359" s="269"/>
      <c r="M359" s="269"/>
      <c r="N359" s="269"/>
      <c r="O359" s="269"/>
    </row>
    <row r="360" spans="2:15" ht="9.75" customHeight="1" x14ac:dyDescent="0.2">
      <c r="B360" s="269"/>
      <c r="C360" s="269"/>
      <c r="E360" s="269"/>
      <c r="H360" s="269"/>
      <c r="J360" s="269"/>
      <c r="K360" s="269"/>
      <c r="L360" s="269"/>
      <c r="M360" s="269"/>
      <c r="N360" s="269"/>
      <c r="O360" s="269"/>
    </row>
    <row r="361" spans="2:15" ht="9.75" customHeight="1" x14ac:dyDescent="0.2">
      <c r="B361" s="269"/>
      <c r="C361" s="269"/>
      <c r="E361" s="269"/>
      <c r="H361" s="269"/>
      <c r="J361" s="269"/>
      <c r="K361" s="269"/>
      <c r="L361" s="269"/>
      <c r="M361" s="269"/>
      <c r="N361" s="269"/>
      <c r="O361" s="269"/>
    </row>
    <row r="362" spans="2:15" ht="9.75" customHeight="1" x14ac:dyDescent="0.2">
      <c r="B362" s="269"/>
      <c r="C362" s="269"/>
      <c r="E362" s="269"/>
      <c r="H362" s="269"/>
      <c r="J362" s="269"/>
      <c r="K362" s="269"/>
      <c r="L362" s="269"/>
      <c r="M362" s="269"/>
      <c r="N362" s="269"/>
      <c r="O362" s="269"/>
    </row>
    <row r="363" spans="2:15" ht="9.75" customHeight="1" x14ac:dyDescent="0.2">
      <c r="B363" s="269"/>
      <c r="C363" s="269"/>
      <c r="E363" s="269"/>
      <c r="H363" s="269"/>
      <c r="J363" s="269"/>
      <c r="K363" s="269"/>
      <c r="L363" s="269"/>
      <c r="M363" s="269"/>
      <c r="N363" s="269"/>
      <c r="O363" s="269"/>
    </row>
    <row r="364" spans="2:15" ht="9.75" customHeight="1" x14ac:dyDescent="0.2">
      <c r="B364" s="269"/>
      <c r="C364" s="269"/>
      <c r="E364" s="269"/>
      <c r="H364" s="269"/>
      <c r="J364" s="269"/>
      <c r="K364" s="269"/>
      <c r="L364" s="269"/>
      <c r="M364" s="269"/>
      <c r="N364" s="269"/>
      <c r="O364" s="269"/>
    </row>
    <row r="365" spans="2:15" ht="9.75" customHeight="1" x14ac:dyDescent="0.2">
      <c r="B365" s="269"/>
      <c r="C365" s="269"/>
      <c r="E365" s="269"/>
      <c r="H365" s="269"/>
      <c r="J365" s="269"/>
      <c r="K365" s="269"/>
      <c r="L365" s="269"/>
      <c r="M365" s="269"/>
      <c r="N365" s="269"/>
      <c r="O365" s="269"/>
    </row>
    <row r="366" spans="2:15" ht="9.75" customHeight="1" x14ac:dyDescent="0.2">
      <c r="B366" s="269"/>
      <c r="C366" s="269"/>
      <c r="E366" s="269"/>
      <c r="H366" s="269"/>
      <c r="J366" s="269"/>
      <c r="K366" s="269"/>
      <c r="L366" s="269"/>
      <c r="M366" s="269"/>
      <c r="N366" s="269"/>
      <c r="O366" s="269"/>
    </row>
    <row r="367" spans="2:15" ht="9.75" customHeight="1" x14ac:dyDescent="0.2">
      <c r="B367" s="269"/>
      <c r="C367" s="269"/>
      <c r="E367" s="269"/>
      <c r="H367" s="269"/>
      <c r="J367" s="269"/>
      <c r="K367" s="269"/>
      <c r="L367" s="269"/>
      <c r="M367" s="269"/>
      <c r="N367" s="269"/>
      <c r="O367" s="269"/>
    </row>
    <row r="368" spans="2:15" ht="9.75" customHeight="1" x14ac:dyDescent="0.2">
      <c r="B368" s="269"/>
      <c r="C368" s="269"/>
      <c r="E368" s="269"/>
      <c r="H368" s="269"/>
      <c r="J368" s="269"/>
      <c r="K368" s="269"/>
      <c r="L368" s="269"/>
      <c r="M368" s="269"/>
      <c r="N368" s="269"/>
      <c r="O368" s="269"/>
    </row>
    <row r="369" spans="2:15" ht="9.75" customHeight="1" x14ac:dyDescent="0.2">
      <c r="B369" s="269"/>
      <c r="C369" s="269"/>
      <c r="E369" s="269"/>
      <c r="H369" s="269"/>
      <c r="J369" s="269"/>
      <c r="K369" s="269"/>
      <c r="L369" s="269"/>
      <c r="M369" s="269"/>
      <c r="N369" s="269"/>
      <c r="O369" s="269"/>
    </row>
    <row r="370" spans="2:15" ht="9.75" customHeight="1" x14ac:dyDescent="0.2">
      <c r="B370" s="269"/>
      <c r="C370" s="269"/>
      <c r="E370" s="269"/>
      <c r="H370" s="269"/>
      <c r="J370" s="269"/>
      <c r="K370" s="269"/>
      <c r="L370" s="269"/>
      <c r="M370" s="269"/>
      <c r="N370" s="269"/>
      <c r="O370" s="269"/>
    </row>
    <row r="371" spans="2:15" ht="9.75" customHeight="1" x14ac:dyDescent="0.2">
      <c r="B371" s="269"/>
      <c r="C371" s="269"/>
      <c r="E371" s="269"/>
      <c r="H371" s="269"/>
      <c r="J371" s="269"/>
      <c r="K371" s="269"/>
      <c r="L371" s="269"/>
      <c r="M371" s="269"/>
      <c r="N371" s="269"/>
      <c r="O371" s="269"/>
    </row>
    <row r="372" spans="2:15" ht="9.75" customHeight="1" x14ac:dyDescent="0.2">
      <c r="B372" s="269"/>
      <c r="C372" s="269"/>
      <c r="E372" s="269"/>
      <c r="H372" s="269"/>
      <c r="J372" s="269"/>
      <c r="K372" s="269"/>
      <c r="L372" s="269"/>
      <c r="M372" s="269"/>
      <c r="N372" s="269"/>
      <c r="O372" s="269"/>
    </row>
    <row r="373" spans="2:15" ht="9.75" customHeight="1" x14ac:dyDescent="0.2">
      <c r="B373" s="269"/>
      <c r="C373" s="269"/>
      <c r="E373" s="269"/>
      <c r="H373" s="269"/>
      <c r="J373" s="269"/>
      <c r="K373" s="269"/>
      <c r="L373" s="269"/>
      <c r="M373" s="269"/>
      <c r="N373" s="269"/>
      <c r="O373" s="269"/>
    </row>
    <row r="374" spans="2:15" ht="9.75" customHeight="1" x14ac:dyDescent="0.2">
      <c r="B374" s="269"/>
      <c r="C374" s="269"/>
      <c r="E374" s="269"/>
      <c r="H374" s="269"/>
      <c r="J374" s="269"/>
      <c r="K374" s="269"/>
      <c r="L374" s="269"/>
      <c r="M374" s="269"/>
      <c r="N374" s="269"/>
      <c r="O374" s="269"/>
    </row>
    <row r="375" spans="2:15" ht="9.75" customHeight="1" x14ac:dyDescent="0.2">
      <c r="B375" s="269"/>
      <c r="C375" s="269"/>
      <c r="E375" s="269"/>
      <c r="H375" s="269"/>
      <c r="J375" s="269"/>
      <c r="K375" s="269"/>
      <c r="L375" s="269"/>
      <c r="M375" s="269"/>
      <c r="N375" s="269"/>
      <c r="O375" s="269"/>
    </row>
    <row r="376" spans="2:15" ht="9.75" customHeight="1" x14ac:dyDescent="0.2">
      <c r="B376" s="269"/>
      <c r="C376" s="269"/>
      <c r="E376" s="269"/>
      <c r="H376" s="269"/>
      <c r="J376" s="269"/>
      <c r="K376" s="269"/>
      <c r="L376" s="269"/>
      <c r="M376" s="269"/>
      <c r="N376" s="269"/>
      <c r="O376" s="269"/>
    </row>
    <row r="377" spans="2:15" ht="9.75" customHeight="1" x14ac:dyDescent="0.2">
      <c r="B377" s="269"/>
      <c r="C377" s="269"/>
      <c r="E377" s="269"/>
      <c r="H377" s="269"/>
      <c r="J377" s="269"/>
      <c r="K377" s="269"/>
      <c r="L377" s="269"/>
      <c r="M377" s="269"/>
      <c r="N377" s="269"/>
      <c r="O377" s="269"/>
    </row>
    <row r="378" spans="2:15" ht="9.75" customHeight="1" x14ac:dyDescent="0.2">
      <c r="B378" s="269"/>
      <c r="C378" s="269"/>
      <c r="E378" s="269"/>
      <c r="H378" s="269"/>
      <c r="J378" s="269"/>
      <c r="K378" s="269"/>
      <c r="L378" s="269"/>
      <c r="M378" s="269"/>
      <c r="N378" s="269"/>
      <c r="O378" s="269"/>
    </row>
    <row r="379" spans="2:15" ht="9.75" customHeight="1" x14ac:dyDescent="0.2">
      <c r="B379" s="269"/>
      <c r="C379" s="269"/>
      <c r="E379" s="269"/>
      <c r="H379" s="269"/>
      <c r="J379" s="269"/>
      <c r="K379" s="269"/>
      <c r="L379" s="269"/>
      <c r="M379" s="269"/>
      <c r="N379" s="269"/>
      <c r="O379" s="269"/>
    </row>
    <row r="380" spans="2:15" ht="9.75" customHeight="1" x14ac:dyDescent="0.2">
      <c r="B380" s="269"/>
      <c r="C380" s="269"/>
      <c r="E380" s="269"/>
      <c r="H380" s="269"/>
      <c r="J380" s="269"/>
      <c r="K380" s="269"/>
      <c r="L380" s="269"/>
      <c r="M380" s="269"/>
      <c r="N380" s="269"/>
      <c r="O380" s="269"/>
    </row>
    <row r="381" spans="2:15" ht="9.75" customHeight="1" x14ac:dyDescent="0.2">
      <c r="B381" s="269"/>
      <c r="C381" s="269"/>
      <c r="E381" s="269"/>
      <c r="H381" s="269"/>
      <c r="J381" s="269"/>
      <c r="K381" s="269"/>
      <c r="L381" s="269"/>
      <c r="M381" s="269"/>
      <c r="N381" s="269"/>
      <c r="O381" s="269"/>
    </row>
    <row r="382" spans="2:15" ht="9.75" customHeight="1" x14ac:dyDescent="0.2">
      <c r="B382" s="269"/>
      <c r="C382" s="269"/>
      <c r="E382" s="269"/>
      <c r="H382" s="269"/>
      <c r="J382" s="269"/>
      <c r="K382" s="269"/>
      <c r="L382" s="269"/>
      <c r="M382" s="269"/>
      <c r="N382" s="269"/>
      <c r="O382" s="269"/>
    </row>
    <row r="383" spans="2:15" ht="9.75" customHeight="1" x14ac:dyDescent="0.2">
      <c r="B383" s="269"/>
      <c r="C383" s="269"/>
      <c r="E383" s="269"/>
      <c r="H383" s="269"/>
      <c r="J383" s="269"/>
      <c r="K383" s="269"/>
      <c r="L383" s="269"/>
      <c r="M383" s="269"/>
      <c r="N383" s="269"/>
      <c r="O383" s="269"/>
    </row>
    <row r="384" spans="2:15" ht="9.75" customHeight="1" x14ac:dyDescent="0.2">
      <c r="B384" s="269"/>
      <c r="C384" s="269"/>
      <c r="E384" s="269"/>
      <c r="H384" s="269"/>
      <c r="J384" s="269"/>
      <c r="K384" s="269"/>
      <c r="L384" s="269"/>
      <c r="M384" s="269"/>
      <c r="N384" s="269"/>
      <c r="O384" s="269"/>
    </row>
    <row r="385" spans="2:15" ht="9.75" customHeight="1" x14ac:dyDescent="0.2">
      <c r="B385" s="269"/>
      <c r="C385" s="269"/>
      <c r="E385" s="269"/>
      <c r="H385" s="269"/>
      <c r="J385" s="269"/>
      <c r="K385" s="269"/>
      <c r="L385" s="269"/>
      <c r="M385" s="269"/>
      <c r="N385" s="269"/>
      <c r="O385" s="269"/>
    </row>
    <row r="386" spans="2:15" ht="9.75" customHeight="1" x14ac:dyDescent="0.2">
      <c r="B386" s="269"/>
      <c r="C386" s="269"/>
      <c r="E386" s="269"/>
      <c r="H386" s="269"/>
      <c r="J386" s="269"/>
      <c r="K386" s="269"/>
      <c r="L386" s="269"/>
      <c r="M386" s="269"/>
      <c r="N386" s="269"/>
      <c r="O386" s="269"/>
    </row>
    <row r="387" spans="2:15" ht="9.75" customHeight="1" x14ac:dyDescent="0.2">
      <c r="B387" s="269"/>
      <c r="C387" s="269"/>
      <c r="E387" s="269"/>
      <c r="H387" s="269"/>
      <c r="J387" s="269"/>
      <c r="K387" s="269"/>
      <c r="L387" s="269"/>
      <c r="M387" s="269"/>
      <c r="N387" s="269"/>
      <c r="O387" s="269"/>
    </row>
    <row r="388" spans="2:15" ht="9.75" customHeight="1" x14ac:dyDescent="0.2">
      <c r="B388" s="269"/>
      <c r="C388" s="269"/>
      <c r="E388" s="269"/>
      <c r="H388" s="269"/>
      <c r="J388" s="269"/>
      <c r="K388" s="269"/>
      <c r="L388" s="269"/>
      <c r="M388" s="269"/>
      <c r="N388" s="269"/>
      <c r="O388" s="269"/>
    </row>
    <row r="389" spans="2:15" ht="9.75" customHeight="1" x14ac:dyDescent="0.2">
      <c r="B389" s="269"/>
      <c r="C389" s="269"/>
      <c r="E389" s="269"/>
      <c r="H389" s="269"/>
      <c r="J389" s="269"/>
      <c r="K389" s="269"/>
      <c r="L389" s="269"/>
      <c r="M389" s="269"/>
      <c r="N389" s="269"/>
      <c r="O389" s="269"/>
    </row>
    <row r="390" spans="2:15" ht="9.75" customHeight="1" x14ac:dyDescent="0.2">
      <c r="B390" s="269"/>
      <c r="C390" s="269"/>
      <c r="E390" s="269"/>
      <c r="H390" s="269"/>
      <c r="J390" s="269"/>
      <c r="K390" s="269"/>
      <c r="L390" s="269"/>
      <c r="M390" s="269"/>
      <c r="N390" s="269"/>
      <c r="O390" s="269"/>
    </row>
    <row r="391" spans="2:15" ht="9.75" customHeight="1" x14ac:dyDescent="0.2">
      <c r="B391" s="269"/>
      <c r="C391" s="269"/>
      <c r="E391" s="269"/>
      <c r="H391" s="269"/>
      <c r="J391" s="269"/>
      <c r="K391" s="269"/>
      <c r="L391" s="269"/>
      <c r="M391" s="269"/>
      <c r="N391" s="269"/>
      <c r="O391" s="269"/>
    </row>
    <row r="392" spans="2:15" ht="9.75" customHeight="1" x14ac:dyDescent="0.2">
      <c r="B392" s="269"/>
      <c r="C392" s="269"/>
      <c r="E392" s="269"/>
      <c r="H392" s="269"/>
      <c r="J392" s="269"/>
      <c r="K392" s="269"/>
      <c r="L392" s="269"/>
      <c r="M392" s="269"/>
      <c r="N392" s="269"/>
      <c r="O392" s="269"/>
    </row>
    <row r="393" spans="2:15" ht="9.75" customHeight="1" x14ac:dyDescent="0.2">
      <c r="B393" s="269"/>
      <c r="C393" s="269"/>
      <c r="E393" s="269"/>
      <c r="H393" s="269"/>
      <c r="J393" s="269"/>
      <c r="K393" s="269"/>
      <c r="L393" s="269"/>
      <c r="M393" s="269"/>
      <c r="N393" s="269"/>
      <c r="O393" s="269"/>
    </row>
    <row r="394" spans="2:15" ht="9.75" customHeight="1" x14ac:dyDescent="0.2">
      <c r="B394" s="269"/>
      <c r="C394" s="269"/>
      <c r="E394" s="269"/>
      <c r="H394" s="269"/>
      <c r="J394" s="269"/>
      <c r="K394" s="269"/>
      <c r="L394" s="269"/>
      <c r="M394" s="269"/>
      <c r="N394" s="269"/>
      <c r="O394" s="269"/>
    </row>
    <row r="395" spans="2:15" ht="9.75" customHeight="1" x14ac:dyDescent="0.2">
      <c r="B395" s="269"/>
      <c r="C395" s="269"/>
      <c r="E395" s="269"/>
      <c r="H395" s="269"/>
      <c r="J395" s="269"/>
      <c r="K395" s="269"/>
      <c r="L395" s="269"/>
      <c r="M395" s="269"/>
      <c r="N395" s="269"/>
      <c r="O395" s="269"/>
    </row>
    <row r="396" spans="2:15" ht="9.75" customHeight="1" x14ac:dyDescent="0.2">
      <c r="B396" s="269"/>
      <c r="C396" s="269"/>
      <c r="E396" s="269"/>
      <c r="H396" s="269"/>
      <c r="J396" s="269"/>
      <c r="K396" s="269"/>
      <c r="L396" s="269"/>
      <c r="M396" s="269"/>
      <c r="N396" s="269"/>
      <c r="O396" s="269"/>
    </row>
    <row r="397" spans="2:15" ht="9.75" customHeight="1" x14ac:dyDescent="0.2">
      <c r="B397" s="269"/>
      <c r="C397" s="269"/>
      <c r="E397" s="269"/>
      <c r="H397" s="269"/>
      <c r="J397" s="269"/>
      <c r="K397" s="269"/>
      <c r="L397" s="269"/>
      <c r="M397" s="269"/>
      <c r="N397" s="269"/>
      <c r="O397" s="269"/>
    </row>
    <row r="398" spans="2:15" ht="9.75" customHeight="1" x14ac:dyDescent="0.2">
      <c r="B398" s="269"/>
      <c r="C398" s="269"/>
      <c r="E398" s="269"/>
      <c r="H398" s="269"/>
      <c r="J398" s="269"/>
      <c r="K398" s="269"/>
      <c r="L398" s="269"/>
      <c r="M398" s="269"/>
      <c r="N398" s="269"/>
      <c r="O398" s="269"/>
    </row>
    <row r="399" spans="2:15" ht="9.75" customHeight="1" x14ac:dyDescent="0.2">
      <c r="B399" s="269"/>
      <c r="C399" s="269"/>
      <c r="E399" s="269"/>
      <c r="H399" s="269"/>
      <c r="J399" s="269"/>
      <c r="K399" s="269"/>
      <c r="L399" s="269"/>
      <c r="M399" s="269"/>
      <c r="N399" s="269"/>
      <c r="O399" s="269"/>
    </row>
    <row r="400" spans="2:15" ht="9.75" customHeight="1" x14ac:dyDescent="0.2">
      <c r="B400" s="269"/>
      <c r="C400" s="269"/>
      <c r="E400" s="269"/>
      <c r="H400" s="269"/>
      <c r="J400" s="269"/>
      <c r="K400" s="269"/>
      <c r="L400" s="269"/>
      <c r="M400" s="269"/>
      <c r="N400" s="269"/>
      <c r="O400" s="269"/>
    </row>
    <row r="401" spans="2:15" ht="9.75" customHeight="1" x14ac:dyDescent="0.2">
      <c r="B401" s="269"/>
      <c r="C401" s="269"/>
      <c r="E401" s="269"/>
      <c r="H401" s="269"/>
      <c r="J401" s="269"/>
      <c r="K401" s="269"/>
      <c r="L401" s="269"/>
      <c r="M401" s="269"/>
      <c r="N401" s="269"/>
      <c r="O401" s="269"/>
    </row>
    <row r="402" spans="2:15" ht="9.75" customHeight="1" x14ac:dyDescent="0.2">
      <c r="B402" s="269"/>
      <c r="C402" s="269"/>
      <c r="E402" s="269"/>
      <c r="H402" s="269"/>
      <c r="J402" s="269"/>
      <c r="K402" s="269"/>
      <c r="L402" s="269"/>
      <c r="M402" s="269"/>
      <c r="N402" s="269"/>
      <c r="O402" s="269"/>
    </row>
    <row r="403" spans="2:15" ht="9.75" customHeight="1" x14ac:dyDescent="0.2">
      <c r="B403" s="269"/>
      <c r="C403" s="269"/>
      <c r="E403" s="269"/>
      <c r="H403" s="269"/>
      <c r="J403" s="269"/>
      <c r="K403" s="269"/>
      <c r="L403" s="269"/>
      <c r="M403" s="269"/>
      <c r="N403" s="269"/>
      <c r="O403" s="269"/>
    </row>
    <row r="404" spans="2:15" ht="9.75" customHeight="1" x14ac:dyDescent="0.2">
      <c r="B404" s="269"/>
      <c r="C404" s="269"/>
      <c r="E404" s="269"/>
      <c r="H404" s="269"/>
      <c r="J404" s="269"/>
      <c r="K404" s="269"/>
      <c r="L404" s="269"/>
      <c r="M404" s="269"/>
      <c r="N404" s="269"/>
      <c r="O404" s="269"/>
    </row>
    <row r="405" spans="2:15" ht="9.75" customHeight="1" x14ac:dyDescent="0.2">
      <c r="B405" s="269"/>
      <c r="C405" s="269"/>
      <c r="E405" s="269"/>
      <c r="H405" s="269"/>
      <c r="J405" s="269"/>
      <c r="K405" s="269"/>
      <c r="L405" s="269"/>
      <c r="M405" s="269"/>
      <c r="N405" s="269"/>
      <c r="O405" s="269"/>
    </row>
    <row r="406" spans="2:15" ht="9.75" customHeight="1" x14ac:dyDescent="0.2">
      <c r="B406" s="269"/>
      <c r="C406" s="269"/>
      <c r="E406" s="269"/>
      <c r="H406" s="269"/>
      <c r="J406" s="269"/>
      <c r="K406" s="269"/>
      <c r="L406" s="269"/>
      <c r="M406" s="269"/>
      <c r="N406" s="269"/>
      <c r="O406" s="269"/>
    </row>
    <row r="407" spans="2:15" ht="9.75" customHeight="1" x14ac:dyDescent="0.2">
      <c r="B407" s="269"/>
      <c r="C407" s="269"/>
      <c r="E407" s="269"/>
      <c r="H407" s="269"/>
      <c r="J407" s="269"/>
      <c r="K407" s="269"/>
      <c r="L407" s="269"/>
      <c r="M407" s="269"/>
      <c r="N407" s="269"/>
      <c r="O407" s="269"/>
    </row>
    <row r="408" spans="2:15" ht="9.75" customHeight="1" x14ac:dyDescent="0.2">
      <c r="B408" s="269"/>
      <c r="C408" s="269"/>
      <c r="E408" s="269"/>
      <c r="H408" s="269"/>
      <c r="J408" s="269"/>
      <c r="K408" s="269"/>
      <c r="L408" s="269"/>
      <c r="M408" s="269"/>
      <c r="N408" s="269"/>
      <c r="O408" s="269"/>
    </row>
    <row r="409" spans="2:15" ht="9.75" customHeight="1" x14ac:dyDescent="0.2">
      <c r="B409" s="269"/>
      <c r="C409" s="269"/>
      <c r="E409" s="269"/>
      <c r="H409" s="269"/>
      <c r="J409" s="269"/>
      <c r="K409" s="269"/>
      <c r="L409" s="269"/>
      <c r="M409" s="269"/>
      <c r="N409" s="269"/>
      <c r="O409" s="269"/>
    </row>
    <row r="410" spans="2:15" ht="9.75" customHeight="1" x14ac:dyDescent="0.2">
      <c r="B410" s="269"/>
      <c r="C410" s="269"/>
      <c r="E410" s="269"/>
      <c r="H410" s="269"/>
      <c r="J410" s="269"/>
      <c r="K410" s="269"/>
      <c r="L410" s="269"/>
      <c r="M410" s="269"/>
      <c r="N410" s="269"/>
      <c r="O410" s="269"/>
    </row>
    <row r="411" spans="2:15" ht="9.75" customHeight="1" x14ac:dyDescent="0.2">
      <c r="B411" s="269"/>
      <c r="C411" s="269"/>
      <c r="E411" s="269"/>
      <c r="H411" s="269"/>
      <c r="J411" s="269"/>
      <c r="K411" s="269"/>
      <c r="L411" s="269"/>
      <c r="M411" s="269"/>
      <c r="N411" s="269"/>
      <c r="O411" s="269"/>
    </row>
    <row r="412" spans="2:15" ht="9.75" customHeight="1" x14ac:dyDescent="0.2">
      <c r="B412" s="269"/>
      <c r="C412" s="269"/>
      <c r="E412" s="269"/>
      <c r="H412" s="269"/>
      <c r="J412" s="269"/>
      <c r="K412" s="269"/>
      <c r="L412" s="269"/>
      <c r="M412" s="269"/>
      <c r="N412" s="269"/>
      <c r="O412" s="269"/>
    </row>
    <row r="413" spans="2:15" ht="9.75" customHeight="1" x14ac:dyDescent="0.2">
      <c r="B413" s="269"/>
      <c r="C413" s="269"/>
      <c r="E413" s="269"/>
      <c r="H413" s="269"/>
      <c r="J413" s="269"/>
      <c r="K413" s="269"/>
      <c r="L413" s="269"/>
      <c r="M413" s="269"/>
      <c r="N413" s="269"/>
      <c r="O413" s="269"/>
    </row>
    <row r="414" spans="2:15" ht="9.75" customHeight="1" x14ac:dyDescent="0.2">
      <c r="B414" s="269"/>
      <c r="C414" s="269"/>
      <c r="E414" s="269"/>
      <c r="H414" s="269"/>
      <c r="J414" s="269"/>
      <c r="K414" s="269"/>
      <c r="L414" s="269"/>
      <c r="M414" s="269"/>
      <c r="N414" s="269"/>
      <c r="O414" s="269"/>
    </row>
    <row r="415" spans="2:15" ht="9.75" customHeight="1" x14ac:dyDescent="0.2">
      <c r="B415" s="269"/>
      <c r="C415" s="269"/>
      <c r="E415" s="269"/>
      <c r="H415" s="269"/>
      <c r="J415" s="269"/>
      <c r="K415" s="269"/>
      <c r="L415" s="269"/>
      <c r="M415" s="269"/>
      <c r="N415" s="269"/>
      <c r="O415" s="269"/>
    </row>
    <row r="416" spans="2:15" ht="9.75" customHeight="1" x14ac:dyDescent="0.2">
      <c r="B416" s="269"/>
      <c r="C416" s="269"/>
      <c r="E416" s="269"/>
      <c r="H416" s="269"/>
      <c r="J416" s="269"/>
      <c r="K416" s="269"/>
      <c r="L416" s="269"/>
      <c r="M416" s="269"/>
      <c r="N416" s="269"/>
      <c r="O416" s="269"/>
    </row>
    <row r="417" spans="2:15" ht="9.75" customHeight="1" x14ac:dyDescent="0.2">
      <c r="B417" s="269"/>
      <c r="C417" s="269"/>
      <c r="E417" s="269"/>
      <c r="H417" s="269"/>
      <c r="J417" s="269"/>
      <c r="K417" s="269"/>
      <c r="L417" s="269"/>
      <c r="M417" s="269"/>
      <c r="N417" s="269"/>
      <c r="O417" s="269"/>
    </row>
    <row r="418" spans="2:15" ht="9.75" customHeight="1" x14ac:dyDescent="0.2">
      <c r="B418" s="269"/>
      <c r="C418" s="269"/>
      <c r="E418" s="269"/>
      <c r="H418" s="269"/>
      <c r="J418" s="269"/>
      <c r="K418" s="269"/>
      <c r="L418" s="269"/>
      <c r="M418" s="269"/>
      <c r="N418" s="269"/>
      <c r="O418" s="269"/>
    </row>
    <row r="419" spans="2:15" ht="9.75" customHeight="1" x14ac:dyDescent="0.2">
      <c r="B419" s="269"/>
      <c r="C419" s="269"/>
      <c r="E419" s="269"/>
      <c r="H419" s="269"/>
      <c r="J419" s="269"/>
      <c r="K419" s="269"/>
      <c r="L419" s="269"/>
      <c r="M419" s="269"/>
      <c r="N419" s="269"/>
      <c r="O419" s="269"/>
    </row>
    <row r="420" spans="2:15" ht="9.75" customHeight="1" x14ac:dyDescent="0.2">
      <c r="B420" s="269"/>
      <c r="C420" s="269"/>
      <c r="E420" s="269"/>
      <c r="H420" s="269"/>
      <c r="J420" s="269"/>
      <c r="K420" s="269"/>
      <c r="L420" s="269"/>
      <c r="M420" s="269"/>
      <c r="N420" s="269"/>
      <c r="O420" s="269"/>
    </row>
    <row r="421" spans="2:15" ht="9.75" customHeight="1" x14ac:dyDescent="0.2">
      <c r="B421" s="269"/>
      <c r="C421" s="269"/>
      <c r="E421" s="269"/>
      <c r="H421" s="269"/>
      <c r="J421" s="269"/>
      <c r="K421" s="269"/>
      <c r="L421" s="269"/>
      <c r="M421" s="269"/>
      <c r="N421" s="269"/>
      <c r="O421" s="269"/>
    </row>
    <row r="422" spans="2:15" ht="9.75" customHeight="1" x14ac:dyDescent="0.2">
      <c r="B422" s="269"/>
      <c r="C422" s="269"/>
      <c r="E422" s="269"/>
      <c r="H422" s="269"/>
      <c r="J422" s="269"/>
      <c r="K422" s="269"/>
      <c r="L422" s="269"/>
      <c r="M422" s="269"/>
      <c r="N422" s="269"/>
      <c r="O422" s="269"/>
    </row>
    <row r="423" spans="2:15" ht="9.75" customHeight="1" x14ac:dyDescent="0.2">
      <c r="B423" s="269"/>
      <c r="C423" s="269"/>
      <c r="E423" s="269"/>
      <c r="H423" s="269"/>
      <c r="J423" s="269"/>
      <c r="K423" s="269"/>
      <c r="L423" s="269"/>
      <c r="M423" s="269"/>
      <c r="N423" s="269"/>
      <c r="O423" s="269"/>
    </row>
    <row r="424" spans="2:15" ht="9.75" customHeight="1" x14ac:dyDescent="0.2">
      <c r="B424" s="269"/>
      <c r="C424" s="269"/>
      <c r="E424" s="269"/>
      <c r="H424" s="269"/>
      <c r="J424" s="269"/>
      <c r="K424" s="269"/>
      <c r="L424" s="269"/>
      <c r="M424" s="269"/>
      <c r="N424" s="269"/>
      <c r="O424" s="269"/>
    </row>
    <row r="425" spans="2:15" ht="9.75" customHeight="1" x14ac:dyDescent="0.2">
      <c r="B425" s="269"/>
      <c r="C425" s="269"/>
      <c r="E425" s="269"/>
      <c r="H425" s="269"/>
      <c r="J425" s="269"/>
      <c r="K425" s="269"/>
      <c r="L425" s="269"/>
      <c r="M425" s="269"/>
      <c r="N425" s="269"/>
      <c r="O425" s="269"/>
    </row>
    <row r="426" spans="2:15" ht="9.75" customHeight="1" x14ac:dyDescent="0.2">
      <c r="B426" s="269"/>
      <c r="C426" s="269"/>
      <c r="E426" s="269"/>
      <c r="H426" s="269"/>
      <c r="J426" s="269"/>
      <c r="K426" s="269"/>
      <c r="L426" s="269"/>
      <c r="M426" s="269"/>
      <c r="N426" s="269"/>
      <c r="O426" s="269"/>
    </row>
    <row r="427" spans="2:15" ht="9.75" customHeight="1" x14ac:dyDescent="0.2">
      <c r="B427" s="269"/>
      <c r="C427" s="269"/>
      <c r="E427" s="269"/>
      <c r="H427" s="269"/>
      <c r="J427" s="269"/>
      <c r="K427" s="269"/>
      <c r="L427" s="269"/>
      <c r="M427" s="269"/>
      <c r="N427" s="269"/>
      <c r="O427" s="269"/>
    </row>
    <row r="428" spans="2:15" ht="9.75" customHeight="1" x14ac:dyDescent="0.2">
      <c r="B428" s="269"/>
      <c r="C428" s="269"/>
      <c r="E428" s="269"/>
      <c r="H428" s="269"/>
      <c r="J428" s="269"/>
      <c r="K428" s="269"/>
      <c r="L428" s="269"/>
      <c r="M428" s="269"/>
      <c r="N428" s="269"/>
      <c r="O428" s="269"/>
    </row>
    <row r="429" spans="2:15" ht="9.75" customHeight="1" x14ac:dyDescent="0.2">
      <c r="B429" s="269"/>
      <c r="C429" s="269"/>
      <c r="E429" s="269"/>
      <c r="H429" s="269"/>
      <c r="J429" s="269"/>
      <c r="K429" s="269"/>
      <c r="L429" s="269"/>
      <c r="M429" s="269"/>
      <c r="N429" s="269"/>
      <c r="O429" s="269"/>
    </row>
    <row r="430" spans="2:15" ht="9.75" customHeight="1" x14ac:dyDescent="0.2">
      <c r="B430" s="269"/>
      <c r="C430" s="269"/>
      <c r="E430" s="269"/>
      <c r="H430" s="269"/>
      <c r="J430" s="269"/>
      <c r="K430" s="269"/>
      <c r="L430" s="269"/>
      <c r="M430" s="269"/>
      <c r="N430" s="269"/>
      <c r="O430" s="269"/>
    </row>
    <row r="431" spans="2:15" ht="9.75" customHeight="1" x14ac:dyDescent="0.2">
      <c r="B431" s="269"/>
      <c r="C431" s="269"/>
      <c r="E431" s="269"/>
      <c r="H431" s="269"/>
      <c r="J431" s="269"/>
      <c r="K431" s="269"/>
      <c r="L431" s="269"/>
      <c r="M431" s="269"/>
      <c r="N431" s="269"/>
      <c r="O431" s="269"/>
    </row>
    <row r="432" spans="2:15" ht="9.75" customHeight="1" x14ac:dyDescent="0.2">
      <c r="B432" s="269"/>
      <c r="C432" s="269"/>
      <c r="E432" s="269"/>
      <c r="H432" s="269"/>
      <c r="J432" s="269"/>
      <c r="K432" s="269"/>
      <c r="L432" s="269"/>
      <c r="M432" s="269"/>
      <c r="N432" s="269"/>
      <c r="O432" s="269"/>
    </row>
    <row r="433" spans="2:15" ht="9.75" customHeight="1" x14ac:dyDescent="0.2">
      <c r="B433" s="269"/>
      <c r="C433" s="269"/>
      <c r="E433" s="269"/>
      <c r="H433" s="269"/>
      <c r="J433" s="269"/>
      <c r="K433" s="269"/>
      <c r="L433" s="269"/>
      <c r="M433" s="269"/>
      <c r="N433" s="269"/>
      <c r="O433" s="269"/>
    </row>
    <row r="434" spans="2:15" ht="9.75" customHeight="1" x14ac:dyDescent="0.2">
      <c r="B434" s="269"/>
      <c r="C434" s="269"/>
      <c r="E434" s="269"/>
      <c r="H434" s="269"/>
      <c r="J434" s="269"/>
      <c r="K434" s="269"/>
      <c r="L434" s="269"/>
      <c r="M434" s="269"/>
      <c r="N434" s="269"/>
      <c r="O434" s="269"/>
    </row>
    <row r="435" spans="2:15" ht="9.75" customHeight="1" x14ac:dyDescent="0.2">
      <c r="B435" s="269"/>
      <c r="C435" s="269"/>
      <c r="E435" s="269"/>
      <c r="H435" s="269"/>
      <c r="J435" s="269"/>
      <c r="K435" s="269"/>
      <c r="L435" s="269"/>
      <c r="M435" s="269"/>
      <c r="N435" s="269"/>
      <c r="O435" s="269"/>
    </row>
    <row r="436" spans="2:15" ht="9.75" customHeight="1" x14ac:dyDescent="0.2">
      <c r="B436" s="269"/>
      <c r="C436" s="269"/>
      <c r="E436" s="269"/>
      <c r="H436" s="269"/>
      <c r="J436" s="269"/>
      <c r="K436" s="269"/>
      <c r="L436" s="269"/>
      <c r="M436" s="269"/>
      <c r="N436" s="269"/>
      <c r="O436" s="269"/>
    </row>
    <row r="437" spans="2:15" ht="9.75" customHeight="1" x14ac:dyDescent="0.2">
      <c r="B437" s="269"/>
      <c r="C437" s="269"/>
      <c r="E437" s="269"/>
      <c r="H437" s="269"/>
      <c r="J437" s="269"/>
      <c r="K437" s="269"/>
      <c r="L437" s="269"/>
      <c r="M437" s="269"/>
      <c r="N437" s="269"/>
      <c r="O437" s="269"/>
    </row>
    <row r="438" spans="2:15" ht="9.75" customHeight="1" x14ac:dyDescent="0.2">
      <c r="B438" s="269"/>
      <c r="C438" s="269"/>
      <c r="E438" s="269"/>
      <c r="H438" s="269"/>
      <c r="J438" s="269"/>
      <c r="K438" s="269"/>
      <c r="L438" s="269"/>
      <c r="M438" s="269"/>
      <c r="N438" s="269"/>
      <c r="O438" s="269"/>
    </row>
    <row r="439" spans="2:15" ht="9.75" customHeight="1" x14ac:dyDescent="0.2">
      <c r="B439" s="269"/>
      <c r="C439" s="269"/>
      <c r="E439" s="269"/>
      <c r="H439" s="269"/>
      <c r="J439" s="269"/>
      <c r="K439" s="269"/>
      <c r="L439" s="269"/>
      <c r="M439" s="269"/>
      <c r="N439" s="269"/>
      <c r="O439" s="269"/>
    </row>
    <row r="440" spans="2:15" ht="9.75" customHeight="1" x14ac:dyDescent="0.2">
      <c r="B440" s="269"/>
      <c r="C440" s="269"/>
      <c r="E440" s="269"/>
      <c r="H440" s="269"/>
      <c r="J440" s="269"/>
      <c r="K440" s="269"/>
      <c r="L440" s="269"/>
      <c r="M440" s="269"/>
      <c r="N440" s="269"/>
      <c r="O440" s="269"/>
    </row>
    <row r="441" spans="2:15" ht="9.75" customHeight="1" x14ac:dyDescent="0.2">
      <c r="B441" s="269"/>
      <c r="C441" s="269"/>
      <c r="E441" s="269"/>
      <c r="H441" s="269"/>
      <c r="J441" s="269"/>
      <c r="K441" s="269"/>
      <c r="L441" s="269"/>
      <c r="M441" s="269"/>
      <c r="N441" s="269"/>
      <c r="O441" s="269"/>
    </row>
    <row r="442" spans="2:15" ht="9.75" customHeight="1" x14ac:dyDescent="0.2">
      <c r="B442" s="269"/>
      <c r="C442" s="269"/>
      <c r="E442" s="269"/>
      <c r="H442" s="269"/>
      <c r="J442" s="269"/>
      <c r="K442" s="269"/>
      <c r="L442" s="269"/>
      <c r="M442" s="269"/>
      <c r="N442" s="269"/>
      <c r="O442" s="269"/>
    </row>
    <row r="443" spans="2:15" ht="9.75" customHeight="1" x14ac:dyDescent="0.2">
      <c r="B443" s="269"/>
      <c r="C443" s="269"/>
      <c r="E443" s="269"/>
      <c r="H443" s="269"/>
      <c r="J443" s="269"/>
      <c r="K443" s="269"/>
      <c r="L443" s="269"/>
      <c r="M443" s="269"/>
      <c r="N443" s="269"/>
      <c r="O443" s="269"/>
    </row>
    <row r="444" spans="2:15" ht="9.75" customHeight="1" x14ac:dyDescent="0.2">
      <c r="B444" s="269"/>
      <c r="C444" s="269"/>
      <c r="E444" s="269"/>
      <c r="H444" s="269"/>
      <c r="J444" s="269"/>
      <c r="K444" s="269"/>
      <c r="L444" s="269"/>
      <c r="M444" s="269"/>
      <c r="N444" s="269"/>
      <c r="O444" s="269"/>
    </row>
    <row r="445" spans="2:15" ht="9.75" customHeight="1" x14ac:dyDescent="0.2">
      <c r="B445" s="269"/>
      <c r="C445" s="269"/>
      <c r="E445" s="269"/>
      <c r="H445" s="269"/>
      <c r="J445" s="269"/>
      <c r="K445" s="269"/>
      <c r="L445" s="269"/>
      <c r="M445" s="269"/>
      <c r="N445" s="269"/>
      <c r="O445" s="269"/>
    </row>
    <row r="446" spans="2:15" ht="9.75" customHeight="1" x14ac:dyDescent="0.2">
      <c r="B446" s="269"/>
      <c r="C446" s="269"/>
      <c r="E446" s="269"/>
      <c r="H446" s="269"/>
      <c r="J446" s="269"/>
      <c r="K446" s="269"/>
      <c r="L446" s="269"/>
      <c r="M446" s="269"/>
      <c r="N446" s="269"/>
      <c r="O446" s="269"/>
    </row>
    <row r="447" spans="2:15" ht="9.75" customHeight="1" x14ac:dyDescent="0.2">
      <c r="B447" s="269"/>
      <c r="C447" s="269"/>
      <c r="E447" s="269"/>
      <c r="H447" s="269"/>
      <c r="J447" s="269"/>
      <c r="K447" s="269"/>
      <c r="L447" s="269"/>
      <c r="M447" s="269"/>
      <c r="N447" s="269"/>
      <c r="O447" s="269"/>
    </row>
    <row r="448" spans="2:15" ht="9.75" customHeight="1" x14ac:dyDescent="0.2">
      <c r="B448" s="269"/>
      <c r="C448" s="269"/>
      <c r="E448" s="269"/>
      <c r="H448" s="269"/>
      <c r="J448" s="269"/>
      <c r="K448" s="269"/>
      <c r="L448" s="269"/>
      <c r="M448" s="269"/>
      <c r="N448" s="269"/>
      <c r="O448" s="269"/>
    </row>
    <row r="449" spans="2:15" ht="9.75" customHeight="1" x14ac:dyDescent="0.2">
      <c r="B449" s="269"/>
      <c r="C449" s="269"/>
      <c r="E449" s="269"/>
      <c r="H449" s="269"/>
      <c r="J449" s="269"/>
      <c r="K449" s="269"/>
      <c r="L449" s="269"/>
      <c r="M449" s="269"/>
      <c r="N449" s="269"/>
      <c r="O449" s="269"/>
    </row>
    <row r="450" spans="2:15" ht="9.75" customHeight="1" x14ac:dyDescent="0.2">
      <c r="B450" s="269"/>
      <c r="C450" s="269"/>
      <c r="E450" s="269"/>
      <c r="H450" s="269"/>
      <c r="J450" s="269"/>
      <c r="K450" s="269"/>
      <c r="L450" s="269"/>
      <c r="M450" s="269"/>
      <c r="N450" s="269"/>
      <c r="O450" s="269"/>
    </row>
    <row r="451" spans="2:15" ht="9.75" customHeight="1" x14ac:dyDescent="0.2">
      <c r="B451" s="269"/>
      <c r="C451" s="269"/>
      <c r="E451" s="269"/>
      <c r="H451" s="269"/>
      <c r="J451" s="269"/>
      <c r="K451" s="269"/>
      <c r="L451" s="269"/>
      <c r="M451" s="269"/>
      <c r="N451" s="269"/>
      <c r="O451" s="269"/>
    </row>
    <row r="452" spans="2:15" ht="9.75" customHeight="1" x14ac:dyDescent="0.2">
      <c r="B452" s="269"/>
      <c r="C452" s="269"/>
      <c r="E452" s="269"/>
      <c r="H452" s="269"/>
      <c r="J452" s="269"/>
      <c r="K452" s="269"/>
      <c r="L452" s="269"/>
      <c r="M452" s="269"/>
      <c r="N452" s="269"/>
      <c r="O452" s="269"/>
    </row>
    <row r="453" spans="2:15" ht="9.75" customHeight="1" x14ac:dyDescent="0.2">
      <c r="B453" s="269"/>
      <c r="C453" s="269"/>
      <c r="E453" s="269"/>
      <c r="H453" s="269"/>
      <c r="J453" s="269"/>
      <c r="K453" s="269"/>
      <c r="L453" s="269"/>
      <c r="M453" s="269"/>
      <c r="N453" s="269"/>
      <c r="O453" s="269"/>
    </row>
    <row r="454" spans="2:15" ht="9.75" customHeight="1" x14ac:dyDescent="0.2">
      <c r="B454" s="269"/>
      <c r="C454" s="269"/>
      <c r="E454" s="269"/>
      <c r="H454" s="269"/>
      <c r="J454" s="269"/>
      <c r="K454" s="269"/>
      <c r="L454" s="269"/>
      <c r="M454" s="269"/>
      <c r="N454" s="269"/>
      <c r="O454" s="269"/>
    </row>
    <row r="455" spans="2:15" ht="9.75" customHeight="1" x14ac:dyDescent="0.2">
      <c r="B455" s="269"/>
      <c r="C455" s="269"/>
      <c r="E455" s="269"/>
      <c r="H455" s="269"/>
      <c r="J455" s="269"/>
      <c r="K455" s="269"/>
      <c r="L455" s="269"/>
      <c r="M455" s="269"/>
      <c r="N455" s="269"/>
      <c r="O455" s="269"/>
    </row>
    <row r="456" spans="2:15" ht="9.75" customHeight="1" x14ac:dyDescent="0.2">
      <c r="B456" s="269"/>
      <c r="C456" s="269"/>
      <c r="E456" s="269"/>
      <c r="H456" s="269"/>
      <c r="J456" s="269"/>
      <c r="K456" s="269"/>
      <c r="L456" s="269"/>
      <c r="M456" s="269"/>
      <c r="N456" s="269"/>
      <c r="O456" s="269"/>
    </row>
    <row r="457" spans="2:15" ht="9.75" customHeight="1" x14ac:dyDescent="0.2">
      <c r="B457" s="269"/>
      <c r="C457" s="269"/>
      <c r="E457" s="269"/>
      <c r="H457" s="269"/>
      <c r="J457" s="269"/>
      <c r="K457" s="269"/>
      <c r="L457" s="269"/>
      <c r="M457" s="269"/>
      <c r="N457" s="269"/>
      <c r="O457" s="269"/>
    </row>
    <row r="458" spans="2:15" ht="9.75" customHeight="1" x14ac:dyDescent="0.2">
      <c r="B458" s="269"/>
      <c r="C458" s="269"/>
      <c r="E458" s="269"/>
      <c r="H458" s="269"/>
      <c r="J458" s="269"/>
      <c r="K458" s="269"/>
      <c r="L458" s="269"/>
      <c r="M458" s="269"/>
      <c r="N458" s="269"/>
      <c r="O458" s="269"/>
    </row>
    <row r="459" spans="2:15" ht="9.75" customHeight="1" x14ac:dyDescent="0.2">
      <c r="B459" s="269"/>
      <c r="C459" s="269"/>
      <c r="E459" s="269"/>
      <c r="H459" s="269"/>
      <c r="J459" s="269"/>
      <c r="K459" s="269"/>
      <c r="L459" s="269"/>
      <c r="M459" s="269"/>
      <c r="N459" s="269"/>
      <c r="O459" s="269"/>
    </row>
    <row r="460" spans="2:15" ht="9.75" customHeight="1" x14ac:dyDescent="0.2">
      <c r="B460" s="269"/>
      <c r="C460" s="269"/>
      <c r="E460" s="269"/>
      <c r="H460" s="269"/>
      <c r="J460" s="269"/>
      <c r="K460" s="269"/>
      <c r="L460" s="269"/>
      <c r="M460" s="269"/>
      <c r="N460" s="269"/>
      <c r="O460" s="269"/>
    </row>
    <row r="461" spans="2:15" ht="9.75" customHeight="1" x14ac:dyDescent="0.2">
      <c r="B461" s="269"/>
      <c r="C461" s="269"/>
      <c r="E461" s="269"/>
      <c r="H461" s="269"/>
      <c r="J461" s="269"/>
      <c r="K461" s="269"/>
      <c r="L461" s="269"/>
      <c r="M461" s="269"/>
      <c r="N461" s="269"/>
      <c r="O461" s="269"/>
    </row>
    <row r="462" spans="2:15" ht="9.75" customHeight="1" x14ac:dyDescent="0.2">
      <c r="B462" s="269"/>
      <c r="C462" s="269"/>
      <c r="E462" s="269"/>
      <c r="H462" s="269"/>
      <c r="J462" s="269"/>
      <c r="K462" s="269"/>
      <c r="L462" s="269"/>
      <c r="M462" s="269"/>
      <c r="N462" s="269"/>
      <c r="O462" s="269"/>
    </row>
    <row r="463" spans="2:15" ht="9.75" customHeight="1" x14ac:dyDescent="0.2">
      <c r="B463" s="269"/>
      <c r="C463" s="269"/>
      <c r="E463" s="269"/>
      <c r="H463" s="269"/>
      <c r="J463" s="269"/>
      <c r="K463" s="269"/>
      <c r="L463" s="269"/>
      <c r="M463" s="269"/>
      <c r="N463" s="269"/>
      <c r="O463" s="269"/>
    </row>
    <row r="464" spans="2:15" ht="9.75" customHeight="1" x14ac:dyDescent="0.2">
      <c r="B464" s="269"/>
      <c r="C464" s="269"/>
      <c r="E464" s="269"/>
      <c r="H464" s="269"/>
      <c r="J464" s="269"/>
      <c r="K464" s="269"/>
      <c r="L464" s="269"/>
      <c r="M464" s="269"/>
      <c r="N464" s="269"/>
      <c r="O464" s="269"/>
    </row>
    <row r="465" spans="2:15" ht="9.75" customHeight="1" x14ac:dyDescent="0.2">
      <c r="B465" s="269"/>
      <c r="C465" s="269"/>
      <c r="E465" s="269"/>
      <c r="H465" s="269"/>
      <c r="J465" s="269"/>
      <c r="K465" s="269"/>
      <c r="L465" s="269"/>
      <c r="M465" s="269"/>
      <c r="N465" s="269"/>
      <c r="O465" s="269"/>
    </row>
    <row r="466" spans="2:15" ht="9.75" customHeight="1" x14ac:dyDescent="0.2">
      <c r="B466" s="269"/>
      <c r="C466" s="269"/>
      <c r="E466" s="269"/>
      <c r="H466" s="269"/>
      <c r="J466" s="269"/>
      <c r="K466" s="269"/>
      <c r="L466" s="269"/>
      <c r="M466" s="269"/>
      <c r="N466" s="269"/>
      <c r="O466" s="269"/>
    </row>
    <row r="467" spans="2:15" ht="9.75" customHeight="1" x14ac:dyDescent="0.2">
      <c r="B467" s="269"/>
      <c r="C467" s="269"/>
      <c r="E467" s="269"/>
      <c r="H467" s="269"/>
      <c r="J467" s="269"/>
      <c r="K467" s="269"/>
      <c r="L467" s="269"/>
      <c r="M467" s="269"/>
      <c r="N467" s="269"/>
      <c r="O467" s="269"/>
    </row>
    <row r="468" spans="2:15" ht="9.75" customHeight="1" x14ac:dyDescent="0.2">
      <c r="B468" s="269"/>
      <c r="C468" s="269"/>
      <c r="E468" s="269"/>
      <c r="H468" s="269"/>
      <c r="J468" s="269"/>
      <c r="K468" s="269"/>
      <c r="L468" s="269"/>
      <c r="M468" s="269"/>
      <c r="N468" s="269"/>
      <c r="O468" s="269"/>
    </row>
    <row r="469" spans="2:15" ht="9.75" customHeight="1" x14ac:dyDescent="0.2">
      <c r="B469" s="269"/>
      <c r="C469" s="269"/>
      <c r="E469" s="269"/>
      <c r="H469" s="269"/>
      <c r="J469" s="269"/>
      <c r="K469" s="269"/>
      <c r="L469" s="269"/>
      <c r="M469" s="269"/>
      <c r="N469" s="269"/>
      <c r="O469" s="269"/>
    </row>
    <row r="470" spans="2:15" ht="9.75" customHeight="1" x14ac:dyDescent="0.2">
      <c r="B470" s="269"/>
      <c r="C470" s="269"/>
      <c r="E470" s="269"/>
      <c r="H470" s="269"/>
      <c r="J470" s="269"/>
      <c r="K470" s="269"/>
      <c r="L470" s="269"/>
      <c r="M470" s="269"/>
      <c r="N470" s="269"/>
      <c r="O470" s="269"/>
    </row>
    <row r="471" spans="2:15" ht="9.75" customHeight="1" x14ac:dyDescent="0.2">
      <c r="B471" s="269"/>
      <c r="C471" s="269"/>
      <c r="E471" s="269"/>
      <c r="H471" s="269"/>
      <c r="J471" s="269"/>
      <c r="K471" s="269"/>
      <c r="L471" s="269"/>
      <c r="M471" s="269"/>
      <c r="N471" s="269"/>
      <c r="O471" s="269"/>
    </row>
    <row r="472" spans="2:15" ht="9.75" customHeight="1" x14ac:dyDescent="0.2">
      <c r="B472" s="269"/>
      <c r="C472" s="269"/>
      <c r="E472" s="269"/>
      <c r="H472" s="269"/>
      <c r="J472" s="269"/>
      <c r="K472" s="269"/>
      <c r="L472" s="269"/>
      <c r="M472" s="269"/>
      <c r="N472" s="269"/>
      <c r="O472" s="269"/>
    </row>
    <row r="473" spans="2:15" ht="9.75" customHeight="1" x14ac:dyDescent="0.2">
      <c r="B473" s="269"/>
      <c r="C473" s="269"/>
      <c r="E473" s="269"/>
      <c r="H473" s="269"/>
      <c r="J473" s="269"/>
      <c r="K473" s="269"/>
      <c r="L473" s="269"/>
      <c r="M473" s="269"/>
      <c r="N473" s="269"/>
      <c r="O473" s="269"/>
    </row>
    <row r="474" spans="2:15" ht="9.75" customHeight="1" x14ac:dyDescent="0.2">
      <c r="B474" s="269"/>
      <c r="C474" s="269"/>
      <c r="E474" s="269"/>
      <c r="H474" s="269"/>
      <c r="J474" s="269"/>
      <c r="K474" s="269"/>
      <c r="L474" s="269"/>
      <c r="M474" s="269"/>
      <c r="N474" s="269"/>
      <c r="O474" s="269"/>
    </row>
    <row r="475" spans="2:15" ht="9.75" customHeight="1" x14ac:dyDescent="0.2">
      <c r="B475" s="269"/>
      <c r="C475" s="269"/>
      <c r="E475" s="269"/>
      <c r="H475" s="269"/>
      <c r="J475" s="269"/>
      <c r="K475" s="269"/>
      <c r="L475" s="269"/>
      <c r="M475" s="269"/>
      <c r="N475" s="269"/>
      <c r="O475" s="269"/>
    </row>
    <row r="476" spans="2:15" ht="9.75" customHeight="1" x14ac:dyDescent="0.2">
      <c r="B476" s="269"/>
      <c r="C476" s="269"/>
      <c r="E476" s="269"/>
      <c r="H476" s="269"/>
      <c r="J476" s="269"/>
      <c r="K476" s="269"/>
      <c r="L476" s="269"/>
      <c r="M476" s="269"/>
      <c r="N476" s="269"/>
      <c r="O476" s="269"/>
    </row>
    <row r="477" spans="2:15" ht="9.75" customHeight="1" x14ac:dyDescent="0.2">
      <c r="B477" s="269"/>
      <c r="C477" s="269"/>
      <c r="E477" s="269"/>
      <c r="H477" s="269"/>
      <c r="J477" s="269"/>
      <c r="K477" s="269"/>
      <c r="L477" s="269"/>
      <c r="M477" s="269"/>
      <c r="N477" s="269"/>
      <c r="O477" s="269"/>
    </row>
    <row r="478" spans="2:15" ht="9.75" customHeight="1" x14ac:dyDescent="0.2">
      <c r="B478" s="269"/>
      <c r="C478" s="269"/>
      <c r="E478" s="269"/>
      <c r="H478" s="269"/>
      <c r="J478" s="269"/>
      <c r="K478" s="269"/>
      <c r="L478" s="269"/>
      <c r="M478" s="269"/>
      <c r="N478" s="269"/>
      <c r="O478" s="269"/>
    </row>
    <row r="479" spans="2:15" ht="9.75" customHeight="1" x14ac:dyDescent="0.2">
      <c r="B479" s="269"/>
      <c r="C479" s="269"/>
      <c r="E479" s="269"/>
      <c r="H479" s="269"/>
      <c r="J479" s="269"/>
      <c r="K479" s="269"/>
      <c r="L479" s="269"/>
      <c r="M479" s="269"/>
      <c r="N479" s="269"/>
      <c r="O479" s="269"/>
    </row>
    <row r="480" spans="2:15" ht="9.75" customHeight="1" x14ac:dyDescent="0.2">
      <c r="B480" s="269"/>
      <c r="C480" s="269"/>
      <c r="E480" s="269"/>
      <c r="H480" s="269"/>
      <c r="J480" s="269"/>
      <c r="K480" s="269"/>
      <c r="L480" s="269"/>
      <c r="M480" s="269"/>
      <c r="N480" s="269"/>
      <c r="O480" s="269"/>
    </row>
    <row r="481" spans="2:15" ht="9.75" customHeight="1" x14ac:dyDescent="0.2">
      <c r="B481" s="269"/>
      <c r="C481" s="269"/>
      <c r="E481" s="269"/>
      <c r="H481" s="269"/>
      <c r="J481" s="269"/>
      <c r="K481" s="269"/>
      <c r="L481" s="269"/>
      <c r="M481" s="269"/>
      <c r="N481" s="269"/>
      <c r="O481" s="269"/>
    </row>
    <row r="482" spans="2:15" ht="9.75" customHeight="1" x14ac:dyDescent="0.2">
      <c r="B482" s="269"/>
      <c r="C482" s="269"/>
      <c r="E482" s="269"/>
      <c r="H482" s="269"/>
      <c r="J482" s="269"/>
      <c r="K482" s="269"/>
      <c r="L482" s="269"/>
      <c r="M482" s="269"/>
      <c r="N482" s="269"/>
      <c r="O482" s="269"/>
    </row>
    <row r="483" spans="2:15" ht="9.75" customHeight="1" x14ac:dyDescent="0.2">
      <c r="B483" s="269"/>
      <c r="C483" s="269"/>
      <c r="E483" s="269"/>
      <c r="H483" s="269"/>
      <c r="J483" s="269"/>
      <c r="K483" s="269"/>
      <c r="L483" s="269"/>
      <c r="M483" s="269"/>
      <c r="N483" s="269"/>
      <c r="O483" s="269"/>
    </row>
    <row r="484" spans="2:15" ht="9.75" customHeight="1" x14ac:dyDescent="0.2">
      <c r="B484" s="269"/>
      <c r="C484" s="269"/>
      <c r="E484" s="269"/>
      <c r="H484" s="269"/>
      <c r="J484" s="269"/>
      <c r="K484" s="269"/>
      <c r="L484" s="269"/>
      <c r="M484" s="269"/>
      <c r="N484" s="269"/>
      <c r="O484" s="269"/>
    </row>
    <row r="485" spans="2:15" ht="9.75" customHeight="1" x14ac:dyDescent="0.2">
      <c r="B485" s="269"/>
      <c r="C485" s="269"/>
      <c r="E485" s="269"/>
      <c r="H485" s="269"/>
      <c r="J485" s="269"/>
      <c r="K485" s="269"/>
      <c r="L485" s="269"/>
      <c r="M485" s="269"/>
      <c r="N485" s="269"/>
      <c r="O485" s="269"/>
    </row>
    <row r="486" spans="2:15" ht="9.75" customHeight="1" x14ac:dyDescent="0.2">
      <c r="B486" s="269"/>
      <c r="C486" s="269"/>
      <c r="E486" s="269"/>
      <c r="H486" s="269"/>
      <c r="J486" s="269"/>
      <c r="K486" s="269"/>
      <c r="L486" s="269"/>
      <c r="M486" s="269"/>
      <c r="N486" s="269"/>
      <c r="O486" s="269"/>
    </row>
    <row r="487" spans="2:15" ht="9.75" customHeight="1" x14ac:dyDescent="0.2">
      <c r="B487" s="269"/>
      <c r="C487" s="269"/>
      <c r="E487" s="269"/>
      <c r="H487" s="269"/>
      <c r="J487" s="269"/>
      <c r="K487" s="269"/>
      <c r="L487" s="269"/>
      <c r="M487" s="269"/>
      <c r="N487" s="269"/>
      <c r="O487" s="269"/>
    </row>
    <row r="488" spans="2:15" ht="9.75" customHeight="1" x14ac:dyDescent="0.2">
      <c r="B488" s="269"/>
      <c r="C488" s="269"/>
      <c r="E488" s="269"/>
      <c r="H488" s="269"/>
      <c r="J488" s="269"/>
      <c r="K488" s="269"/>
      <c r="L488" s="269"/>
      <c r="M488" s="269"/>
      <c r="N488" s="269"/>
      <c r="O488" s="269"/>
    </row>
    <row r="489" spans="2:15" ht="9.75" customHeight="1" x14ac:dyDescent="0.2">
      <c r="B489" s="269"/>
      <c r="C489" s="269"/>
      <c r="E489" s="269"/>
      <c r="H489" s="269"/>
      <c r="J489" s="269"/>
      <c r="K489" s="269"/>
      <c r="L489" s="269"/>
      <c r="M489" s="269"/>
      <c r="N489" s="269"/>
      <c r="O489" s="269"/>
    </row>
    <row r="490" spans="2:15" ht="9.75" customHeight="1" x14ac:dyDescent="0.2">
      <c r="B490" s="269"/>
      <c r="C490" s="269"/>
      <c r="E490" s="269"/>
      <c r="H490" s="269"/>
      <c r="J490" s="269"/>
      <c r="K490" s="269"/>
      <c r="L490" s="269"/>
      <c r="M490" s="269"/>
      <c r="N490" s="269"/>
      <c r="O490" s="269"/>
    </row>
    <row r="491" spans="2:15" ht="9.75" customHeight="1" x14ac:dyDescent="0.2">
      <c r="B491" s="269"/>
      <c r="C491" s="269"/>
      <c r="E491" s="269"/>
      <c r="H491" s="269"/>
      <c r="J491" s="269"/>
      <c r="K491" s="269"/>
      <c r="L491" s="269"/>
      <c r="M491" s="269"/>
      <c r="N491" s="269"/>
      <c r="O491" s="269"/>
    </row>
    <row r="492" spans="2:15" ht="9.75" customHeight="1" x14ac:dyDescent="0.2">
      <c r="B492" s="269"/>
      <c r="C492" s="269"/>
      <c r="E492" s="269"/>
      <c r="H492" s="269"/>
      <c r="J492" s="269"/>
      <c r="K492" s="269"/>
      <c r="L492" s="269"/>
      <c r="M492" s="269"/>
      <c r="N492" s="269"/>
      <c r="O492" s="269"/>
    </row>
    <row r="493" spans="2:15" ht="9.75" customHeight="1" x14ac:dyDescent="0.2">
      <c r="B493" s="269"/>
      <c r="C493" s="269"/>
      <c r="E493" s="269"/>
      <c r="H493" s="269"/>
      <c r="J493" s="269"/>
      <c r="K493" s="269"/>
      <c r="L493" s="269"/>
      <c r="M493" s="269"/>
      <c r="N493" s="269"/>
      <c r="O493" s="269"/>
    </row>
    <row r="494" spans="2:15" ht="9.75" customHeight="1" x14ac:dyDescent="0.2">
      <c r="B494" s="269"/>
      <c r="C494" s="269"/>
      <c r="E494" s="269"/>
      <c r="H494" s="269"/>
      <c r="J494" s="269"/>
      <c r="K494" s="269"/>
      <c r="L494" s="269"/>
      <c r="M494" s="269"/>
      <c r="N494" s="269"/>
      <c r="O494" s="269"/>
    </row>
    <row r="495" spans="2:15" ht="9.75" customHeight="1" x14ac:dyDescent="0.2">
      <c r="B495" s="269"/>
      <c r="C495" s="269"/>
      <c r="E495" s="269"/>
      <c r="H495" s="269"/>
      <c r="J495" s="269"/>
      <c r="K495" s="269"/>
      <c r="L495" s="269"/>
      <c r="M495" s="269"/>
      <c r="N495" s="269"/>
      <c r="O495" s="269"/>
    </row>
    <row r="496" spans="2:15" ht="9.75" customHeight="1" x14ac:dyDescent="0.2">
      <c r="B496" s="269"/>
      <c r="C496" s="269"/>
      <c r="E496" s="269"/>
      <c r="H496" s="269"/>
      <c r="J496" s="269"/>
      <c r="K496" s="269"/>
      <c r="L496" s="269"/>
      <c r="M496" s="269"/>
      <c r="N496" s="269"/>
      <c r="O496" s="269"/>
    </row>
    <row r="497" spans="2:15" ht="9.75" customHeight="1" x14ac:dyDescent="0.2">
      <c r="B497" s="269"/>
      <c r="C497" s="269"/>
      <c r="E497" s="269"/>
      <c r="H497" s="269"/>
      <c r="J497" s="269"/>
      <c r="K497" s="269"/>
      <c r="L497" s="269"/>
      <c r="M497" s="269"/>
      <c r="N497" s="269"/>
      <c r="O497" s="269"/>
    </row>
    <row r="498" spans="2:15" ht="9.75" customHeight="1" x14ac:dyDescent="0.2">
      <c r="B498" s="269"/>
      <c r="C498" s="269"/>
      <c r="E498" s="269"/>
      <c r="H498" s="269"/>
      <c r="J498" s="269"/>
      <c r="K498" s="269"/>
      <c r="L498" s="269"/>
      <c r="M498" s="269"/>
      <c r="N498" s="269"/>
      <c r="O498" s="269"/>
    </row>
    <row r="499" spans="2:15" ht="9.75" customHeight="1" x14ac:dyDescent="0.2">
      <c r="B499" s="269"/>
      <c r="C499" s="269"/>
      <c r="E499" s="269"/>
      <c r="H499" s="269"/>
      <c r="J499" s="269"/>
      <c r="K499" s="269"/>
      <c r="L499" s="269"/>
      <c r="M499" s="269"/>
      <c r="N499" s="269"/>
      <c r="O499" s="269"/>
    </row>
    <row r="500" spans="2:15" ht="9.75" customHeight="1" x14ac:dyDescent="0.2">
      <c r="B500" s="269"/>
      <c r="C500" s="269"/>
      <c r="E500" s="269"/>
      <c r="H500" s="269"/>
      <c r="J500" s="269"/>
      <c r="K500" s="269"/>
      <c r="L500" s="269"/>
      <c r="M500" s="269"/>
      <c r="N500" s="269"/>
      <c r="O500" s="269"/>
    </row>
    <row r="501" spans="2:15" ht="9.75" customHeight="1" x14ac:dyDescent="0.2">
      <c r="B501" s="269"/>
      <c r="C501" s="269"/>
      <c r="E501" s="269"/>
      <c r="H501" s="269"/>
      <c r="J501" s="269"/>
      <c r="K501" s="269"/>
      <c r="L501" s="269"/>
      <c r="M501" s="269"/>
      <c r="N501" s="269"/>
      <c r="O501" s="269"/>
    </row>
    <row r="502" spans="2:15" ht="9.75" customHeight="1" x14ac:dyDescent="0.2">
      <c r="B502" s="269"/>
      <c r="C502" s="269"/>
      <c r="E502" s="269"/>
      <c r="H502" s="269"/>
      <c r="J502" s="269"/>
      <c r="K502" s="269"/>
      <c r="L502" s="269"/>
      <c r="M502" s="269"/>
      <c r="N502" s="269"/>
      <c r="O502" s="269"/>
    </row>
    <row r="503" spans="2:15" ht="9.75" customHeight="1" x14ac:dyDescent="0.2">
      <c r="B503" s="269"/>
      <c r="C503" s="269"/>
      <c r="E503" s="269"/>
      <c r="H503" s="269"/>
      <c r="J503" s="269"/>
      <c r="K503" s="269"/>
      <c r="L503" s="269"/>
      <c r="M503" s="269"/>
      <c r="N503" s="269"/>
      <c r="O503" s="269"/>
    </row>
    <row r="504" spans="2:15" ht="9.75" customHeight="1" x14ac:dyDescent="0.2">
      <c r="B504" s="269"/>
      <c r="C504" s="269"/>
      <c r="E504" s="269"/>
      <c r="H504" s="269"/>
      <c r="J504" s="269"/>
      <c r="K504" s="269"/>
      <c r="L504" s="269"/>
      <c r="M504" s="269"/>
      <c r="N504" s="269"/>
      <c r="O504" s="269"/>
    </row>
    <row r="505" spans="2:15" ht="9.75" customHeight="1" x14ac:dyDescent="0.2">
      <c r="B505" s="269"/>
      <c r="C505" s="269"/>
      <c r="E505" s="269"/>
      <c r="H505" s="269"/>
      <c r="J505" s="269"/>
      <c r="K505" s="269"/>
      <c r="L505" s="269"/>
      <c r="M505" s="269"/>
      <c r="N505" s="269"/>
      <c r="O505" s="269"/>
    </row>
    <row r="506" spans="2:15" ht="9.75" customHeight="1" x14ac:dyDescent="0.2">
      <c r="B506" s="269"/>
      <c r="C506" s="269"/>
      <c r="E506" s="269"/>
      <c r="H506" s="269"/>
      <c r="J506" s="269"/>
      <c r="K506" s="269"/>
      <c r="L506" s="269"/>
      <c r="M506" s="269"/>
      <c r="N506" s="269"/>
      <c r="O506" s="269"/>
    </row>
    <row r="507" spans="2:15" ht="9.75" customHeight="1" x14ac:dyDescent="0.2">
      <c r="B507" s="269"/>
      <c r="C507" s="269"/>
      <c r="E507" s="269"/>
      <c r="H507" s="269"/>
      <c r="J507" s="269"/>
      <c r="K507" s="269"/>
      <c r="L507" s="269"/>
      <c r="M507" s="269"/>
      <c r="N507" s="269"/>
      <c r="O507" s="269"/>
    </row>
    <row r="508" spans="2:15" ht="9.75" customHeight="1" x14ac:dyDescent="0.2">
      <c r="B508" s="269"/>
      <c r="C508" s="269"/>
      <c r="E508" s="269"/>
      <c r="H508" s="269"/>
      <c r="J508" s="269"/>
      <c r="K508" s="269"/>
      <c r="L508" s="269"/>
      <c r="M508" s="269"/>
      <c r="N508" s="269"/>
      <c r="O508" s="269"/>
    </row>
    <row r="509" spans="2:15" ht="9.75" customHeight="1" x14ac:dyDescent="0.2">
      <c r="B509" s="269"/>
      <c r="C509" s="269"/>
      <c r="E509" s="269"/>
      <c r="H509" s="269"/>
      <c r="J509" s="269"/>
      <c r="K509" s="269"/>
      <c r="L509" s="269"/>
      <c r="M509" s="269"/>
      <c r="N509" s="269"/>
      <c r="O509" s="269"/>
    </row>
    <row r="510" spans="2:15" ht="9.75" customHeight="1" x14ac:dyDescent="0.2">
      <c r="B510" s="269"/>
      <c r="C510" s="269"/>
      <c r="E510" s="269"/>
      <c r="H510" s="269"/>
      <c r="J510" s="269"/>
      <c r="K510" s="269"/>
      <c r="L510" s="269"/>
      <c r="M510" s="269"/>
      <c r="N510" s="269"/>
      <c r="O510" s="269"/>
    </row>
    <row r="511" spans="2:15" ht="9.75" customHeight="1" x14ac:dyDescent="0.2">
      <c r="B511" s="269"/>
      <c r="C511" s="269"/>
      <c r="E511" s="269"/>
      <c r="H511" s="269"/>
      <c r="J511" s="269"/>
      <c r="K511" s="269"/>
      <c r="L511" s="269"/>
      <c r="M511" s="269"/>
      <c r="N511" s="269"/>
      <c r="O511" s="269"/>
    </row>
    <row r="512" spans="2:15" ht="9.75" customHeight="1" x14ac:dyDescent="0.2">
      <c r="B512" s="269"/>
      <c r="C512" s="269"/>
      <c r="E512" s="269"/>
      <c r="H512" s="269"/>
      <c r="J512" s="269"/>
      <c r="K512" s="269"/>
      <c r="L512" s="269"/>
      <c r="M512" s="269"/>
      <c r="N512" s="269"/>
      <c r="O512" s="269"/>
    </row>
    <row r="513" spans="2:15" ht="9.75" customHeight="1" x14ac:dyDescent="0.2">
      <c r="B513" s="269"/>
      <c r="C513" s="269"/>
      <c r="E513" s="269"/>
      <c r="H513" s="269"/>
      <c r="J513" s="269"/>
      <c r="K513" s="269"/>
      <c r="L513" s="269"/>
      <c r="M513" s="269"/>
      <c r="N513" s="269"/>
      <c r="O513" s="269"/>
    </row>
    <row r="514" spans="2:15" ht="9.75" customHeight="1" x14ac:dyDescent="0.2">
      <c r="B514" s="269"/>
      <c r="C514" s="269"/>
      <c r="E514" s="269"/>
      <c r="H514" s="269"/>
      <c r="J514" s="269"/>
      <c r="K514" s="269"/>
      <c r="L514" s="269"/>
      <c r="M514" s="269"/>
      <c r="N514" s="269"/>
      <c r="O514" s="269"/>
    </row>
    <row r="515" spans="2:15" ht="9.75" customHeight="1" x14ac:dyDescent="0.2">
      <c r="B515" s="269"/>
      <c r="C515" s="269"/>
      <c r="E515" s="269"/>
      <c r="H515" s="269"/>
      <c r="J515" s="269"/>
      <c r="K515" s="269"/>
      <c r="L515" s="269"/>
      <c r="M515" s="269"/>
      <c r="N515" s="269"/>
      <c r="O515" s="269"/>
    </row>
    <row r="516" spans="2:15" ht="9.75" customHeight="1" x14ac:dyDescent="0.2">
      <c r="B516" s="269"/>
      <c r="C516" s="269"/>
      <c r="E516" s="269"/>
      <c r="H516" s="269"/>
      <c r="J516" s="269"/>
      <c r="K516" s="269"/>
      <c r="L516" s="269"/>
      <c r="M516" s="269"/>
      <c r="N516" s="269"/>
      <c r="O516" s="269"/>
    </row>
    <row r="517" spans="2:15" ht="9.75" customHeight="1" x14ac:dyDescent="0.2">
      <c r="B517" s="269"/>
      <c r="C517" s="269"/>
      <c r="E517" s="269"/>
      <c r="H517" s="269"/>
      <c r="J517" s="269"/>
      <c r="K517" s="269"/>
      <c r="L517" s="269"/>
      <c r="M517" s="269"/>
      <c r="N517" s="269"/>
      <c r="O517" s="269"/>
    </row>
    <row r="518" spans="2:15" ht="9.75" customHeight="1" x14ac:dyDescent="0.2">
      <c r="B518" s="269"/>
      <c r="C518" s="269"/>
      <c r="E518" s="269"/>
      <c r="H518" s="269"/>
      <c r="J518" s="269"/>
      <c r="K518" s="269"/>
      <c r="L518" s="269"/>
      <c r="M518" s="269"/>
      <c r="N518" s="269"/>
      <c r="O518" s="269"/>
    </row>
    <row r="519" spans="2:15" ht="9.75" customHeight="1" x14ac:dyDescent="0.2">
      <c r="B519" s="269"/>
      <c r="C519" s="269"/>
      <c r="E519" s="269"/>
      <c r="H519" s="269"/>
      <c r="J519" s="269"/>
      <c r="K519" s="269"/>
      <c r="L519" s="269"/>
      <c r="M519" s="269"/>
      <c r="N519" s="269"/>
      <c r="O519" s="269"/>
    </row>
    <row r="520" spans="2:15" ht="9.75" customHeight="1" x14ac:dyDescent="0.2">
      <c r="B520" s="269"/>
      <c r="C520" s="269"/>
      <c r="E520" s="269"/>
      <c r="H520" s="269"/>
      <c r="J520" s="269"/>
      <c r="K520" s="269"/>
      <c r="L520" s="269"/>
      <c r="M520" s="269"/>
      <c r="N520" s="269"/>
      <c r="O520" s="269"/>
    </row>
    <row r="521" spans="2:15" ht="9.75" customHeight="1" x14ac:dyDescent="0.2">
      <c r="B521" s="269"/>
      <c r="C521" s="269"/>
      <c r="E521" s="269"/>
      <c r="H521" s="269"/>
      <c r="J521" s="269"/>
      <c r="K521" s="269"/>
      <c r="L521" s="269"/>
      <c r="M521" s="269"/>
      <c r="N521" s="269"/>
      <c r="O521" s="269"/>
    </row>
    <row r="522" spans="2:15" ht="9.75" customHeight="1" x14ac:dyDescent="0.2">
      <c r="B522" s="269"/>
      <c r="C522" s="269"/>
      <c r="E522" s="269"/>
      <c r="H522" s="269"/>
      <c r="J522" s="269"/>
      <c r="K522" s="269"/>
      <c r="L522" s="269"/>
      <c r="M522" s="269"/>
      <c r="N522" s="269"/>
      <c r="O522" s="269"/>
    </row>
    <row r="523" spans="2:15" ht="9.75" customHeight="1" x14ac:dyDescent="0.2">
      <c r="B523" s="269"/>
      <c r="C523" s="269"/>
      <c r="E523" s="269"/>
      <c r="H523" s="269"/>
      <c r="J523" s="269"/>
      <c r="K523" s="269"/>
      <c r="L523" s="269"/>
      <c r="M523" s="269"/>
      <c r="N523" s="269"/>
      <c r="O523" s="269"/>
    </row>
    <row r="524" spans="2:15" ht="9.75" customHeight="1" x14ac:dyDescent="0.2">
      <c r="B524" s="269"/>
      <c r="C524" s="269"/>
      <c r="E524" s="269"/>
      <c r="H524" s="269"/>
      <c r="J524" s="269"/>
      <c r="K524" s="269"/>
      <c r="L524" s="269"/>
      <c r="M524" s="269"/>
      <c r="N524" s="269"/>
      <c r="O524" s="269"/>
    </row>
    <row r="525" spans="2:15" ht="9.75" customHeight="1" x14ac:dyDescent="0.2">
      <c r="B525" s="269"/>
      <c r="C525" s="269"/>
      <c r="E525" s="269"/>
      <c r="H525" s="269"/>
      <c r="J525" s="269"/>
      <c r="K525" s="269"/>
      <c r="L525" s="269"/>
      <c r="M525" s="269"/>
      <c r="N525" s="269"/>
      <c r="O525" s="269"/>
    </row>
    <row r="526" spans="2:15" ht="9.75" customHeight="1" x14ac:dyDescent="0.2">
      <c r="B526" s="269"/>
      <c r="C526" s="269"/>
      <c r="E526" s="269"/>
      <c r="H526" s="269"/>
      <c r="J526" s="269"/>
      <c r="K526" s="269"/>
      <c r="L526" s="269"/>
      <c r="M526" s="269"/>
      <c r="N526" s="269"/>
      <c r="O526" s="269"/>
    </row>
    <row r="527" spans="2:15" ht="9.75" customHeight="1" x14ac:dyDescent="0.2">
      <c r="B527" s="269"/>
      <c r="C527" s="269"/>
      <c r="E527" s="269"/>
      <c r="H527" s="269"/>
      <c r="J527" s="269"/>
      <c r="K527" s="269"/>
      <c r="L527" s="269"/>
      <c r="M527" s="269"/>
      <c r="N527" s="269"/>
      <c r="O527" s="269"/>
    </row>
    <row r="528" spans="2:15" ht="9.75" customHeight="1" x14ac:dyDescent="0.2">
      <c r="B528" s="269"/>
      <c r="C528" s="269"/>
      <c r="E528" s="269"/>
      <c r="H528" s="269"/>
      <c r="J528" s="269"/>
      <c r="K528" s="269"/>
      <c r="L528" s="269"/>
      <c r="M528" s="269"/>
      <c r="N528" s="269"/>
      <c r="O528" s="269"/>
    </row>
    <row r="529" spans="2:15" ht="9.75" customHeight="1" x14ac:dyDescent="0.2">
      <c r="B529" s="269"/>
      <c r="C529" s="269"/>
      <c r="E529" s="269"/>
      <c r="H529" s="269"/>
      <c r="J529" s="269"/>
      <c r="K529" s="269"/>
      <c r="L529" s="269"/>
      <c r="M529" s="269"/>
      <c r="N529" s="269"/>
      <c r="O529" s="269"/>
    </row>
    <row r="530" spans="2:15" ht="9.75" customHeight="1" x14ac:dyDescent="0.2">
      <c r="B530" s="269"/>
      <c r="C530" s="269"/>
      <c r="E530" s="269"/>
      <c r="H530" s="269"/>
      <c r="J530" s="269"/>
      <c r="K530" s="269"/>
      <c r="L530" s="269"/>
      <c r="M530" s="269"/>
      <c r="N530" s="269"/>
      <c r="O530" s="269"/>
    </row>
    <row r="531" spans="2:15" ht="9.75" customHeight="1" x14ac:dyDescent="0.2">
      <c r="B531" s="269"/>
      <c r="C531" s="269"/>
      <c r="E531" s="269"/>
      <c r="H531" s="269"/>
      <c r="J531" s="269"/>
      <c r="K531" s="269"/>
      <c r="L531" s="269"/>
      <c r="M531" s="269"/>
      <c r="N531" s="269"/>
      <c r="O531" s="269"/>
    </row>
    <row r="532" spans="2:15" ht="9.75" customHeight="1" x14ac:dyDescent="0.2">
      <c r="B532" s="269"/>
      <c r="C532" s="269"/>
      <c r="E532" s="269"/>
      <c r="H532" s="269"/>
      <c r="J532" s="269"/>
      <c r="K532" s="269"/>
      <c r="L532" s="269"/>
      <c r="M532" s="269"/>
      <c r="N532" s="269"/>
      <c r="O532" s="269"/>
    </row>
    <row r="533" spans="2:15" ht="9.75" customHeight="1" x14ac:dyDescent="0.2">
      <c r="B533" s="269"/>
      <c r="C533" s="269"/>
      <c r="E533" s="269"/>
      <c r="H533" s="269"/>
      <c r="J533" s="269"/>
      <c r="K533" s="269"/>
      <c r="L533" s="269"/>
      <c r="M533" s="269"/>
      <c r="N533" s="269"/>
      <c r="O533" s="269"/>
    </row>
  </sheetData>
  <mergeCells count="115">
    <mergeCell ref="B61:E61"/>
    <mergeCell ref="B62:E62"/>
    <mergeCell ref="B63:E63"/>
    <mergeCell ref="B64:E64"/>
    <mergeCell ref="B65:E65"/>
    <mergeCell ref="I67:M67"/>
    <mergeCell ref="K55:M57"/>
    <mergeCell ref="N55:O57"/>
    <mergeCell ref="B57:C57"/>
    <mergeCell ref="B58:C58"/>
    <mergeCell ref="D58:P58"/>
    <mergeCell ref="F59:J60"/>
    <mergeCell ref="K59:O60"/>
    <mergeCell ref="K52:M54"/>
    <mergeCell ref="N52:O54"/>
    <mergeCell ref="B49:C50"/>
    <mergeCell ref="D49:D50"/>
    <mergeCell ref="K49:M51"/>
    <mergeCell ref="N49:O51"/>
    <mergeCell ref="E50:E51"/>
    <mergeCell ref="F50:G51"/>
    <mergeCell ref="H50:I51"/>
    <mergeCell ref="J50:J51"/>
    <mergeCell ref="B51:C52"/>
    <mergeCell ref="D51:D52"/>
    <mergeCell ref="B53:C54"/>
    <mergeCell ref="D53:D54"/>
    <mergeCell ref="E54:E55"/>
    <mergeCell ref="F54:G55"/>
    <mergeCell ref="H54:I55"/>
    <mergeCell ref="J54:J55"/>
    <mergeCell ref="B55:C56"/>
    <mergeCell ref="D55:D56"/>
    <mergeCell ref="E52:E53"/>
    <mergeCell ref="F52:G53"/>
    <mergeCell ref="H52:I53"/>
    <mergeCell ref="J52:J53"/>
    <mergeCell ref="H46:I47"/>
    <mergeCell ref="J46:J47"/>
    <mergeCell ref="K46:M48"/>
    <mergeCell ref="N46:O48"/>
    <mergeCell ref="B47:C48"/>
    <mergeCell ref="D47:D48"/>
    <mergeCell ref="E48:E49"/>
    <mergeCell ref="F48:G49"/>
    <mergeCell ref="H48:I49"/>
    <mergeCell ref="J48:J49"/>
    <mergeCell ref="C43:D43"/>
    <mergeCell ref="C44:D44"/>
    <mergeCell ref="A45:B45"/>
    <mergeCell ref="D45:E45"/>
    <mergeCell ref="F45:G45"/>
    <mergeCell ref="E46:E47"/>
    <mergeCell ref="F46:G47"/>
    <mergeCell ref="C37:D37"/>
    <mergeCell ref="C38:D38"/>
    <mergeCell ref="C39:D39"/>
    <mergeCell ref="C40:D40"/>
    <mergeCell ref="C41:D41"/>
    <mergeCell ref="C42:D42"/>
    <mergeCell ref="C31:D31"/>
    <mergeCell ref="C32:D32"/>
    <mergeCell ref="C33:D33"/>
    <mergeCell ref="C34:D34"/>
    <mergeCell ref="C35:D35"/>
    <mergeCell ref="C36:D36"/>
    <mergeCell ref="C25:D25"/>
    <mergeCell ref="C26:D26"/>
    <mergeCell ref="C27:D27"/>
    <mergeCell ref="C28:D28"/>
    <mergeCell ref="C29:D29"/>
    <mergeCell ref="C30:D30"/>
    <mergeCell ref="C19:D19"/>
    <mergeCell ref="C20:D20"/>
    <mergeCell ref="C21:D21"/>
    <mergeCell ref="C22:D22"/>
    <mergeCell ref="C23:D23"/>
    <mergeCell ref="C24:D24"/>
    <mergeCell ref="H17:H18"/>
    <mergeCell ref="I17:I18"/>
    <mergeCell ref="J17:J18"/>
    <mergeCell ref="K17:L17"/>
    <mergeCell ref="M17:N17"/>
    <mergeCell ref="O17:P18"/>
    <mergeCell ref="A17:A18"/>
    <mergeCell ref="B17:B18"/>
    <mergeCell ref="C17:D18"/>
    <mergeCell ref="E17:E18"/>
    <mergeCell ref="F17:F18"/>
    <mergeCell ref="G17:G18"/>
    <mergeCell ref="B14:C14"/>
    <mergeCell ref="D14:I14"/>
    <mergeCell ref="B15:C15"/>
    <mergeCell ref="D15:I15"/>
    <mergeCell ref="B16:C16"/>
    <mergeCell ref="D16:I16"/>
    <mergeCell ref="B12:C12"/>
    <mergeCell ref="D12:I12"/>
    <mergeCell ref="K12:M12"/>
    <mergeCell ref="E1:I2"/>
    <mergeCell ref="K1:O2"/>
    <mergeCell ref="A3:P4"/>
    <mergeCell ref="A5:P5"/>
    <mergeCell ref="A6:P6"/>
    <mergeCell ref="A7:P7"/>
    <mergeCell ref="N12:O12"/>
    <mergeCell ref="B13:C13"/>
    <mergeCell ref="D13:I13"/>
    <mergeCell ref="B9:D9"/>
    <mergeCell ref="K9:M9"/>
    <mergeCell ref="N9:O9"/>
    <mergeCell ref="B11:C11"/>
    <mergeCell ref="D11:I11"/>
    <mergeCell ref="K11:M11"/>
    <mergeCell ref="N11:O11"/>
  </mergeCells>
  <pageMargins left="0.47244094488188981" right="0" top="0.47244094488188981" bottom="0" header="0" footer="0"/>
  <pageSetup scale="92" orientation="portrait" r:id="rId1"/>
  <drawing r:id="rId2"/>
  <legacyDrawing r:id="rId3"/>
  <controls>
    <mc:AlternateContent xmlns:mc="http://schemas.openxmlformats.org/markup-compatibility/2006">
      <mc:Choice Requires="x14">
        <control shapeId="56324" r:id="rId4" name="CommandButton4">
          <controlPr defaultSize="0" print="0" autoLine="0" autoPict="0" r:id="rId5">
            <anchor moveWithCells="1">
              <from>
                <xdr:col>2</xdr:col>
                <xdr:colOff>76200</xdr:colOff>
                <xdr:row>0</xdr:row>
                <xdr:rowOff>104775</xdr:rowOff>
              </from>
              <to>
                <xdr:col>3</xdr:col>
                <xdr:colOff>0</xdr:colOff>
                <xdr:row>0</xdr:row>
                <xdr:rowOff>133350</xdr:rowOff>
              </to>
            </anchor>
          </controlPr>
        </control>
      </mc:Choice>
      <mc:Fallback>
        <control shapeId="56324" r:id="rId4" name="CommandButton4"/>
      </mc:Fallback>
    </mc:AlternateContent>
    <mc:AlternateContent xmlns:mc="http://schemas.openxmlformats.org/markup-compatibility/2006">
      <mc:Choice Requires="x14">
        <control shapeId="56323" r:id="rId6" name="CommandButton3">
          <controlPr defaultSize="0" print="0" autoLine="0" autoPict="0" r:id="rId5">
            <anchor moveWithCells="1">
              <from>
                <xdr:col>2</xdr:col>
                <xdr:colOff>76200</xdr:colOff>
                <xdr:row>0</xdr:row>
                <xdr:rowOff>104775</xdr:rowOff>
              </from>
              <to>
                <xdr:col>3</xdr:col>
                <xdr:colOff>0</xdr:colOff>
                <xdr:row>0</xdr:row>
                <xdr:rowOff>133350</xdr:rowOff>
              </to>
            </anchor>
          </controlPr>
        </control>
      </mc:Choice>
      <mc:Fallback>
        <control shapeId="56323" r:id="rId6" name="CommandButton3"/>
      </mc:Fallback>
    </mc:AlternateContent>
    <mc:AlternateContent xmlns:mc="http://schemas.openxmlformats.org/markup-compatibility/2006">
      <mc:Choice Requires="x14">
        <control shapeId="56322" r:id="rId7" name="CommandButton2">
          <controlPr defaultSize="0" print="0" autoLine="0" autoPict="0" r:id="rId5">
            <anchor moveWithCells="1">
              <from>
                <xdr:col>2</xdr:col>
                <xdr:colOff>76200</xdr:colOff>
                <xdr:row>0</xdr:row>
                <xdr:rowOff>76200</xdr:rowOff>
              </from>
              <to>
                <xdr:col>3</xdr:col>
                <xdr:colOff>0</xdr:colOff>
                <xdr:row>0</xdr:row>
                <xdr:rowOff>104775</xdr:rowOff>
              </to>
            </anchor>
          </controlPr>
        </control>
      </mc:Choice>
      <mc:Fallback>
        <control shapeId="56322" r:id="rId7" name="CommandButton2"/>
      </mc:Fallback>
    </mc:AlternateContent>
    <mc:AlternateContent xmlns:mc="http://schemas.openxmlformats.org/markup-compatibility/2006">
      <mc:Choice Requires="x14">
        <control shapeId="56321" r:id="rId8" name="CommandButton1">
          <controlPr defaultSize="0" print="0" autoLine="0" autoPict="0" r:id="rId5">
            <anchor moveWithCells="1">
              <from>
                <xdr:col>2</xdr:col>
                <xdr:colOff>76200</xdr:colOff>
                <xdr:row>0</xdr:row>
                <xdr:rowOff>76200</xdr:rowOff>
              </from>
              <to>
                <xdr:col>3</xdr:col>
                <xdr:colOff>0</xdr:colOff>
                <xdr:row>0</xdr:row>
                <xdr:rowOff>104775</xdr:rowOff>
              </to>
            </anchor>
          </controlPr>
        </control>
      </mc:Choice>
      <mc:Fallback>
        <control shapeId="56321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92D050"/>
  </sheetPr>
  <dimension ref="A1:W117"/>
  <sheetViews>
    <sheetView showZeros="0" zoomScale="85" zoomScaleNormal="85" workbookViewId="0">
      <pane xSplit="3" ySplit="2" topLeftCell="G5" activePane="bottomRight" state="frozen"/>
      <selection activeCell="E46" sqref="E46:J57"/>
      <selection pane="topRight" activeCell="E46" sqref="E46:J57"/>
      <selection pane="bottomLeft" activeCell="E46" sqref="E46:J57"/>
      <selection pane="bottomRight" activeCell="N24" sqref="N24"/>
    </sheetView>
  </sheetViews>
  <sheetFormatPr defaultRowHeight="15" x14ac:dyDescent="0.25"/>
  <cols>
    <col min="1" max="1" width="9.140625" style="1"/>
    <col min="2" max="2" width="10.140625" style="2" bestFit="1" customWidth="1"/>
    <col min="3" max="3" width="37.42578125" style="1" bestFit="1" customWidth="1"/>
    <col min="4" max="4" width="10" style="471" bestFit="1" customWidth="1"/>
    <col min="5" max="5" width="10" style="415" bestFit="1" customWidth="1"/>
    <col min="6" max="6" width="9.140625" style="1"/>
    <col min="7" max="7" width="12" style="10" bestFit="1" customWidth="1"/>
    <col min="8" max="8" width="12" style="11" customWidth="1"/>
    <col min="9" max="9" width="10" style="9" customWidth="1"/>
    <col min="10" max="11" width="10" style="70" customWidth="1"/>
    <col min="12" max="12" width="10" style="9" customWidth="1"/>
    <col min="13" max="13" width="9.140625" style="11"/>
    <col min="14" max="14" width="7.5703125" style="1" customWidth="1"/>
    <col min="15" max="15" width="12.5703125" style="1" customWidth="1"/>
    <col min="16" max="16" width="9.140625" style="1"/>
    <col min="17" max="23" width="15.28515625" style="419" customWidth="1"/>
    <col min="24" max="24" width="17" style="1" customWidth="1"/>
    <col min="25" max="25" width="9.140625" style="1"/>
    <col min="26" max="26" width="10" style="1" bestFit="1" customWidth="1"/>
    <col min="27" max="16384" width="9.140625" style="1"/>
  </cols>
  <sheetData>
    <row r="1" spans="1:23" ht="15.75" customHeight="1" thickBot="1" x14ac:dyDescent="0.3">
      <c r="A1" s="628" t="s">
        <v>10</v>
      </c>
      <c r="B1" s="629" t="s">
        <v>14</v>
      </c>
      <c r="C1" s="638" t="s">
        <v>12</v>
      </c>
      <c r="D1" s="636" t="s">
        <v>11</v>
      </c>
      <c r="E1" s="634" t="s">
        <v>13</v>
      </c>
      <c r="F1" s="628" t="s">
        <v>3</v>
      </c>
      <c r="G1" s="627" t="s">
        <v>46</v>
      </c>
      <c r="H1" s="627"/>
      <c r="I1" s="627"/>
      <c r="J1" s="627"/>
      <c r="K1" s="627"/>
      <c r="L1" s="627"/>
      <c r="M1" s="640" t="s">
        <v>4</v>
      </c>
      <c r="N1" s="633" t="s">
        <v>69</v>
      </c>
      <c r="O1" s="630" t="s">
        <v>76</v>
      </c>
      <c r="P1" s="625" t="s">
        <v>56</v>
      </c>
      <c r="Q1" s="421" t="s">
        <v>284</v>
      </c>
      <c r="R1" s="421" t="s">
        <v>285</v>
      </c>
      <c r="S1" s="421" t="s">
        <v>286</v>
      </c>
      <c r="T1" s="421" t="s">
        <v>287</v>
      </c>
      <c r="U1" s="421" t="s">
        <v>288</v>
      </c>
      <c r="V1" s="421" t="s">
        <v>289</v>
      </c>
      <c r="W1" s="421" t="s">
        <v>290</v>
      </c>
    </row>
    <row r="2" spans="1:23" ht="15.75" customHeight="1" x14ac:dyDescent="0.25">
      <c r="A2" s="629"/>
      <c r="B2" s="632"/>
      <c r="C2" s="639"/>
      <c r="D2" s="637"/>
      <c r="E2" s="635"/>
      <c r="F2" s="629"/>
      <c r="G2" s="32" t="s">
        <v>47</v>
      </c>
      <c r="H2" s="422" t="s">
        <v>293</v>
      </c>
      <c r="I2" s="33" t="s">
        <v>294</v>
      </c>
      <c r="J2" s="67" t="s">
        <v>32</v>
      </c>
      <c r="K2" s="67" t="s">
        <v>293</v>
      </c>
      <c r="L2" s="33"/>
      <c r="M2" s="641"/>
      <c r="N2" s="633"/>
      <c r="O2" s="631"/>
      <c r="P2" s="626"/>
      <c r="Q2" s="421"/>
      <c r="R2" s="421"/>
      <c r="S2" s="421"/>
      <c r="T2" s="421"/>
      <c r="U2" s="421"/>
      <c r="V2" s="421"/>
      <c r="W2" s="421"/>
    </row>
    <row r="3" spans="1:23" x14ac:dyDescent="0.25">
      <c r="A3" s="217">
        <v>1</v>
      </c>
      <c r="B3" s="417" t="s">
        <v>15</v>
      </c>
      <c r="C3" s="218" t="s">
        <v>262</v>
      </c>
      <c r="D3" s="464"/>
      <c r="E3" s="408">
        <v>34022010</v>
      </c>
      <c r="F3" s="218">
        <v>199</v>
      </c>
      <c r="G3" s="220">
        <f t="shared" ref="G3:G34" si="0">(F3-F3*H3%)/(1+M3/100)</f>
        <v>141.66101694915255</v>
      </c>
      <c r="H3" s="222">
        <v>16</v>
      </c>
      <c r="I3" s="219"/>
      <c r="J3" s="221">
        <f t="shared" ref="J3:J34" si="1">(F3-F3*16%)/1.18</f>
        <v>141.66101694915255</v>
      </c>
      <c r="K3" s="221"/>
      <c r="L3" s="219"/>
      <c r="M3" s="222">
        <v>18</v>
      </c>
      <c r="N3" s="218">
        <v>12</v>
      </c>
      <c r="O3" s="218">
        <f t="shared" ref="O3:O34" si="2">IFERROR(ROUNDDOWN(P3/N3,"0.5"),0)</f>
        <v>-11</v>
      </c>
      <c r="P3" s="223">
        <v>-138</v>
      </c>
      <c r="Q3" s="419">
        <v>8901764022807</v>
      </c>
    </row>
    <row r="4" spans="1:23" x14ac:dyDescent="0.25">
      <c r="A4" s="217">
        <v>2</v>
      </c>
      <c r="B4" s="417" t="s">
        <v>15</v>
      </c>
      <c r="C4" s="218" t="s">
        <v>266</v>
      </c>
      <c r="D4" s="464">
        <v>150333</v>
      </c>
      <c r="E4" s="408">
        <v>34022010</v>
      </c>
      <c r="F4" s="218">
        <v>399</v>
      </c>
      <c r="G4" s="220">
        <f t="shared" si="0"/>
        <v>284.03389830508473</v>
      </c>
      <c r="H4" s="222">
        <v>16</v>
      </c>
      <c r="I4" s="219"/>
      <c r="J4" s="221">
        <f t="shared" si="1"/>
        <v>284.03389830508473</v>
      </c>
      <c r="K4" s="221"/>
      <c r="L4" s="219"/>
      <c r="M4" s="222">
        <v>18</v>
      </c>
      <c r="N4" s="218">
        <v>6</v>
      </c>
      <c r="O4" s="218">
        <f t="shared" si="2"/>
        <v>-94</v>
      </c>
      <c r="P4" s="223">
        <v>-568</v>
      </c>
      <c r="Q4" s="419">
        <v>8906062349878</v>
      </c>
    </row>
    <row r="5" spans="1:23" x14ac:dyDescent="0.25">
      <c r="A5" s="217">
        <v>3</v>
      </c>
      <c r="B5" s="417" t="s">
        <v>15</v>
      </c>
      <c r="C5" s="218" t="s">
        <v>265</v>
      </c>
      <c r="D5" s="464">
        <v>150326</v>
      </c>
      <c r="E5" s="408">
        <v>34022010</v>
      </c>
      <c r="F5" s="218">
        <v>120</v>
      </c>
      <c r="G5" s="220">
        <f t="shared" si="0"/>
        <v>85.423728813559322</v>
      </c>
      <c r="H5" s="222">
        <v>16</v>
      </c>
      <c r="I5" s="219"/>
      <c r="J5" s="221">
        <f t="shared" si="1"/>
        <v>85.423728813559322</v>
      </c>
      <c r="K5" s="221"/>
      <c r="L5" s="219"/>
      <c r="M5" s="222">
        <v>18</v>
      </c>
      <c r="N5" s="218">
        <v>24</v>
      </c>
      <c r="O5" s="218">
        <f t="shared" si="2"/>
        <v>-3</v>
      </c>
      <c r="P5" s="223">
        <v>-84</v>
      </c>
      <c r="Q5" s="419">
        <v>8906062349021</v>
      </c>
    </row>
    <row r="6" spans="1:23" x14ac:dyDescent="0.25">
      <c r="A6" s="217">
        <v>4</v>
      </c>
      <c r="B6" s="417" t="s">
        <v>15</v>
      </c>
      <c r="C6" s="218" t="s">
        <v>260</v>
      </c>
      <c r="D6" s="464">
        <v>150318</v>
      </c>
      <c r="E6" s="408">
        <v>34022010</v>
      </c>
      <c r="F6" s="218">
        <v>199</v>
      </c>
      <c r="G6" s="220">
        <f t="shared" si="0"/>
        <v>141.66101694915255</v>
      </c>
      <c r="H6" s="222">
        <v>16</v>
      </c>
      <c r="I6" s="219">
        <v>0</v>
      </c>
      <c r="J6" s="221">
        <f t="shared" si="1"/>
        <v>141.66101694915255</v>
      </c>
      <c r="K6" s="221"/>
      <c r="L6" s="219"/>
      <c r="M6" s="222">
        <v>18</v>
      </c>
      <c r="N6" s="218">
        <v>12</v>
      </c>
      <c r="O6" s="218">
        <f t="shared" si="2"/>
        <v>-86</v>
      </c>
      <c r="P6" s="223">
        <v>-1043</v>
      </c>
      <c r="Q6" s="419">
        <v>8906062349854</v>
      </c>
    </row>
    <row r="7" spans="1:23" x14ac:dyDescent="0.25">
      <c r="A7" s="217">
        <v>5</v>
      </c>
      <c r="B7" s="417" t="s">
        <v>15</v>
      </c>
      <c r="C7" s="218" t="s">
        <v>261</v>
      </c>
      <c r="D7" s="464">
        <v>150319</v>
      </c>
      <c r="E7" s="408">
        <v>34022010</v>
      </c>
      <c r="F7" s="218">
        <v>50</v>
      </c>
      <c r="G7" s="220">
        <f t="shared" si="0"/>
        <v>35.593220338983052</v>
      </c>
      <c r="H7" s="222">
        <v>16</v>
      </c>
      <c r="I7" s="219">
        <v>0</v>
      </c>
      <c r="J7" s="221">
        <f t="shared" si="1"/>
        <v>35.593220338983052</v>
      </c>
      <c r="K7" s="221"/>
      <c r="L7" s="219"/>
      <c r="M7" s="222">
        <v>18</v>
      </c>
      <c r="N7" s="218">
        <v>60</v>
      </c>
      <c r="O7" s="218">
        <f t="shared" si="2"/>
        <v>0</v>
      </c>
      <c r="P7" s="223">
        <v>-44</v>
      </c>
      <c r="Q7" s="419">
        <v>8906062349069</v>
      </c>
    </row>
    <row r="8" spans="1:23" x14ac:dyDescent="0.25">
      <c r="A8" s="217">
        <v>6</v>
      </c>
      <c r="B8" s="417" t="s">
        <v>15</v>
      </c>
      <c r="C8" s="218" t="s">
        <v>263</v>
      </c>
      <c r="D8" s="464">
        <v>150334</v>
      </c>
      <c r="E8" s="408">
        <v>34022010</v>
      </c>
      <c r="F8" s="218">
        <v>10</v>
      </c>
      <c r="G8" s="220">
        <f t="shared" si="0"/>
        <v>7.1186440677966107</v>
      </c>
      <c r="H8" s="222">
        <v>16</v>
      </c>
      <c r="I8" s="219">
        <v>0</v>
      </c>
      <c r="J8" s="221">
        <f t="shared" si="1"/>
        <v>7.1186440677966107</v>
      </c>
      <c r="K8" s="221"/>
      <c r="L8" s="219"/>
      <c r="M8" s="222">
        <v>18</v>
      </c>
      <c r="N8" s="218">
        <v>0</v>
      </c>
      <c r="O8" s="218">
        <f t="shared" si="2"/>
        <v>0</v>
      </c>
      <c r="P8" s="223">
        <v>0</v>
      </c>
      <c r="Q8" s="419">
        <v>8906062349014</v>
      </c>
    </row>
    <row r="9" spans="1:23" x14ac:dyDescent="0.25">
      <c r="A9" s="217">
        <v>7</v>
      </c>
      <c r="B9" s="417" t="s">
        <v>15</v>
      </c>
      <c r="C9" s="218" t="s">
        <v>264</v>
      </c>
      <c r="D9" s="464"/>
      <c r="E9" s="408">
        <v>34022010</v>
      </c>
      <c r="F9" s="218">
        <v>5</v>
      </c>
      <c r="G9" s="220">
        <f t="shared" si="0"/>
        <v>3.5593220338983054</v>
      </c>
      <c r="H9" s="222">
        <v>16</v>
      </c>
      <c r="I9" s="219"/>
      <c r="J9" s="221">
        <f t="shared" si="1"/>
        <v>3.5593220338983054</v>
      </c>
      <c r="K9" s="221"/>
      <c r="L9" s="219"/>
      <c r="M9" s="222">
        <v>18</v>
      </c>
      <c r="N9" s="218"/>
      <c r="O9" s="218">
        <f t="shared" si="2"/>
        <v>0</v>
      </c>
      <c r="P9" s="223">
        <v>0</v>
      </c>
      <c r="Q9" s="419">
        <v>8906062349007</v>
      </c>
    </row>
    <row r="10" spans="1:23" x14ac:dyDescent="0.25">
      <c r="A10" s="217">
        <v>7</v>
      </c>
      <c r="B10" s="417" t="s">
        <v>15</v>
      </c>
      <c r="C10" s="218" t="s">
        <v>326</v>
      </c>
      <c r="D10" s="464"/>
      <c r="E10" s="408">
        <v>34022010</v>
      </c>
      <c r="F10" s="218">
        <v>220</v>
      </c>
      <c r="G10" s="220">
        <f t="shared" ref="G10" si="3">(F10-F10*H10%)/(1+M10/100)</f>
        <v>156.61016949152545</v>
      </c>
      <c r="H10" s="222">
        <v>16</v>
      </c>
      <c r="I10" s="219"/>
      <c r="J10" s="221">
        <f t="shared" ref="J10" si="4">(F10-F10*16%)/1.18</f>
        <v>156.61016949152545</v>
      </c>
      <c r="K10" s="221"/>
      <c r="L10" s="219"/>
      <c r="M10" s="222">
        <v>18</v>
      </c>
      <c r="N10" s="218">
        <v>10</v>
      </c>
      <c r="O10" s="218">
        <f t="shared" ref="O10" si="5">IFERROR(ROUNDDOWN(P10/N10,"0.5"),0)</f>
        <v>-26</v>
      </c>
      <c r="P10" s="223">
        <v>-265</v>
      </c>
    </row>
    <row r="11" spans="1:23" x14ac:dyDescent="0.25">
      <c r="A11" s="217">
        <v>7</v>
      </c>
      <c r="B11" s="417" t="s">
        <v>15</v>
      </c>
      <c r="C11" s="218" t="s">
        <v>259</v>
      </c>
      <c r="D11" s="464">
        <v>150342</v>
      </c>
      <c r="E11" s="408">
        <v>34022010</v>
      </c>
      <c r="F11" s="218">
        <v>195</v>
      </c>
      <c r="G11" s="220">
        <f t="shared" si="0"/>
        <v>138.81355932203391</v>
      </c>
      <c r="H11" s="222">
        <v>16</v>
      </c>
      <c r="I11" s="219"/>
      <c r="J11" s="221">
        <f t="shared" si="1"/>
        <v>138.81355932203391</v>
      </c>
      <c r="K11" s="221"/>
      <c r="L11" s="219"/>
      <c r="M11" s="222">
        <v>18</v>
      </c>
      <c r="N11" s="218">
        <v>15</v>
      </c>
      <c r="O11" s="218">
        <f t="shared" si="2"/>
        <v>-9</v>
      </c>
      <c r="P11" s="223">
        <v>-145</v>
      </c>
      <c r="Q11" s="419">
        <v>8906062340059</v>
      </c>
    </row>
    <row r="12" spans="1:23" x14ac:dyDescent="0.25">
      <c r="A12" s="217">
        <v>7</v>
      </c>
      <c r="B12" s="417" t="s">
        <v>15</v>
      </c>
      <c r="C12" s="218" t="s">
        <v>193</v>
      </c>
      <c r="D12" s="464">
        <v>150338</v>
      </c>
      <c r="E12" s="408">
        <v>34022010</v>
      </c>
      <c r="F12" s="218">
        <v>99</v>
      </c>
      <c r="G12" s="220">
        <f t="shared" si="0"/>
        <v>70.474576271186436</v>
      </c>
      <c r="H12" s="222">
        <v>16</v>
      </c>
      <c r="I12" s="219"/>
      <c r="J12" s="221">
        <f t="shared" si="1"/>
        <v>70.474576271186436</v>
      </c>
      <c r="K12" s="221"/>
      <c r="L12" s="219"/>
      <c r="M12" s="222">
        <v>18</v>
      </c>
      <c r="N12" s="218">
        <v>30</v>
      </c>
      <c r="O12" s="218">
        <f t="shared" si="2"/>
        <v>-18</v>
      </c>
      <c r="P12" s="223">
        <v>-552</v>
      </c>
      <c r="Q12" s="419">
        <v>8906062340011</v>
      </c>
      <c r="R12" s="419">
        <v>8906062340004</v>
      </c>
    </row>
    <row r="13" spans="1:23" x14ac:dyDescent="0.25">
      <c r="A13" s="217">
        <v>7</v>
      </c>
      <c r="B13" s="417" t="s">
        <v>15</v>
      </c>
      <c r="C13" s="218" t="s">
        <v>194</v>
      </c>
      <c r="D13" s="464">
        <v>150339</v>
      </c>
      <c r="E13" s="408">
        <v>34022010</v>
      </c>
      <c r="F13" s="218">
        <v>54</v>
      </c>
      <c r="G13" s="220">
        <f t="shared" si="0"/>
        <v>38.440677966101696</v>
      </c>
      <c r="H13" s="222">
        <v>16</v>
      </c>
      <c r="I13" s="219">
        <v>0</v>
      </c>
      <c r="J13" s="221">
        <f t="shared" si="1"/>
        <v>38.440677966101696</v>
      </c>
      <c r="K13" s="221"/>
      <c r="L13" s="219"/>
      <c r="M13" s="222">
        <v>18</v>
      </c>
      <c r="N13" s="218">
        <v>60</v>
      </c>
      <c r="O13" s="218">
        <f t="shared" si="2"/>
        <v>-13</v>
      </c>
      <c r="P13" s="223">
        <v>-820</v>
      </c>
    </row>
    <row r="14" spans="1:23" x14ac:dyDescent="0.25">
      <c r="A14" s="217">
        <v>8</v>
      </c>
      <c r="B14" s="417" t="s">
        <v>15</v>
      </c>
      <c r="C14" s="218" t="s">
        <v>267</v>
      </c>
      <c r="D14" s="464">
        <v>150306</v>
      </c>
      <c r="E14" s="408">
        <v>34022010</v>
      </c>
      <c r="F14" s="218">
        <v>102</v>
      </c>
      <c r="G14" s="220">
        <f t="shared" si="0"/>
        <v>72.61016949152544</v>
      </c>
      <c r="H14" s="222">
        <v>16</v>
      </c>
      <c r="I14" s="219"/>
      <c r="J14" s="221">
        <f t="shared" si="1"/>
        <v>72.61016949152544</v>
      </c>
      <c r="K14" s="221"/>
      <c r="L14" s="219"/>
      <c r="M14" s="222">
        <v>18</v>
      </c>
      <c r="N14" s="218"/>
      <c r="O14" s="218">
        <f t="shared" si="2"/>
        <v>0</v>
      </c>
      <c r="P14" s="223">
        <v>-1</v>
      </c>
    </row>
    <row r="15" spans="1:23" x14ac:dyDescent="0.25">
      <c r="A15" s="217">
        <v>9</v>
      </c>
      <c r="B15" s="417" t="s">
        <v>15</v>
      </c>
      <c r="C15" s="218" t="s">
        <v>268</v>
      </c>
      <c r="D15" s="464">
        <v>150317</v>
      </c>
      <c r="E15" s="408">
        <v>34022010</v>
      </c>
      <c r="F15" s="218">
        <v>55</v>
      </c>
      <c r="G15" s="220">
        <f t="shared" si="0"/>
        <v>39.152542372881364</v>
      </c>
      <c r="H15" s="222">
        <v>16</v>
      </c>
      <c r="I15" s="219"/>
      <c r="J15" s="221">
        <f t="shared" si="1"/>
        <v>39.152542372881364</v>
      </c>
      <c r="K15" s="221"/>
      <c r="L15" s="219"/>
      <c r="M15" s="222">
        <v>18</v>
      </c>
      <c r="N15" s="218"/>
      <c r="O15" s="218">
        <f t="shared" si="2"/>
        <v>0</v>
      </c>
      <c r="P15" s="223">
        <v>0</v>
      </c>
    </row>
    <row r="16" spans="1:23" x14ac:dyDescent="0.25">
      <c r="A16" s="217">
        <v>10</v>
      </c>
      <c r="B16" s="417" t="s">
        <v>15</v>
      </c>
      <c r="C16" s="218" t="s">
        <v>269</v>
      </c>
      <c r="D16" s="464">
        <v>150305</v>
      </c>
      <c r="E16" s="408">
        <v>34022010</v>
      </c>
      <c r="F16" s="218">
        <v>20</v>
      </c>
      <c r="G16" s="220">
        <f>(F16-F16*H16%)/(1+M16/100)</f>
        <v>14.237288135593221</v>
      </c>
      <c r="H16" s="222">
        <v>16</v>
      </c>
      <c r="I16" s="219"/>
      <c r="J16" s="221">
        <f t="shared" si="1"/>
        <v>14.237288135593221</v>
      </c>
      <c r="K16" s="221"/>
      <c r="L16" s="219"/>
      <c r="M16" s="222">
        <v>18</v>
      </c>
      <c r="N16" s="218" t="s">
        <v>50</v>
      </c>
      <c r="O16" s="218">
        <f t="shared" si="2"/>
        <v>0</v>
      </c>
      <c r="P16" s="223">
        <v>-39</v>
      </c>
    </row>
    <row r="17" spans="1:17" x14ac:dyDescent="0.25">
      <c r="A17" s="217">
        <v>11</v>
      </c>
      <c r="B17" s="417" t="s">
        <v>15</v>
      </c>
      <c r="C17" s="218" t="s">
        <v>270</v>
      </c>
      <c r="D17" s="464">
        <v>150320</v>
      </c>
      <c r="E17" s="408">
        <v>34022010</v>
      </c>
      <c r="F17" s="218">
        <v>110</v>
      </c>
      <c r="G17" s="220">
        <f t="shared" si="0"/>
        <v>78.305084745762727</v>
      </c>
      <c r="H17" s="222">
        <v>16</v>
      </c>
      <c r="I17" s="219"/>
      <c r="J17" s="221">
        <f t="shared" si="1"/>
        <v>78.305084745762727</v>
      </c>
      <c r="K17" s="221"/>
      <c r="L17" s="219"/>
      <c r="M17" s="222">
        <v>18</v>
      </c>
      <c r="N17" s="218">
        <v>18</v>
      </c>
      <c r="O17" s="218">
        <f t="shared" si="2"/>
        <v>-19</v>
      </c>
      <c r="P17" s="223">
        <v>-345</v>
      </c>
    </row>
    <row r="18" spans="1:17" x14ac:dyDescent="0.25">
      <c r="A18" s="217">
        <v>12</v>
      </c>
      <c r="B18" s="417" t="s">
        <v>15</v>
      </c>
      <c r="C18" s="218" t="s">
        <v>271</v>
      </c>
      <c r="D18" s="464">
        <v>150306</v>
      </c>
      <c r="E18" s="408">
        <v>34022010</v>
      </c>
      <c r="F18" s="218">
        <v>102</v>
      </c>
      <c r="G18" s="220">
        <f t="shared" si="0"/>
        <v>72.61016949152544</v>
      </c>
      <c r="H18" s="222">
        <v>16</v>
      </c>
      <c r="I18" s="219"/>
      <c r="J18" s="221">
        <f t="shared" si="1"/>
        <v>72.61016949152544</v>
      </c>
      <c r="K18" s="221"/>
      <c r="L18" s="219"/>
      <c r="M18" s="222">
        <v>18</v>
      </c>
      <c r="N18" s="218"/>
      <c r="O18" s="218">
        <f t="shared" si="2"/>
        <v>0</v>
      </c>
      <c r="P18" s="223">
        <v>0</v>
      </c>
    </row>
    <row r="19" spans="1:17" x14ac:dyDescent="0.25">
      <c r="A19" s="217">
        <v>13</v>
      </c>
      <c r="B19" s="417" t="s">
        <v>15</v>
      </c>
      <c r="C19" s="218" t="s">
        <v>273</v>
      </c>
      <c r="D19" s="464">
        <v>150307</v>
      </c>
      <c r="E19" s="408">
        <v>34022010</v>
      </c>
      <c r="F19" s="218">
        <v>45</v>
      </c>
      <c r="G19" s="220">
        <f t="shared" si="0"/>
        <v>32.033898305084747</v>
      </c>
      <c r="H19" s="222">
        <v>16</v>
      </c>
      <c r="I19" s="219"/>
      <c r="J19" s="221">
        <f t="shared" si="1"/>
        <v>32.033898305084747</v>
      </c>
      <c r="K19" s="221"/>
      <c r="L19" s="219"/>
      <c r="M19" s="222">
        <v>18</v>
      </c>
      <c r="N19" s="218">
        <v>36</v>
      </c>
      <c r="O19" s="218">
        <f t="shared" si="2"/>
        <v>-48</v>
      </c>
      <c r="P19" s="223">
        <v>-1733</v>
      </c>
      <c r="Q19" s="419">
        <v>8906062349380</v>
      </c>
    </row>
    <row r="20" spans="1:17" x14ac:dyDescent="0.25">
      <c r="A20" s="217">
        <v>14</v>
      </c>
      <c r="B20" s="417" t="s">
        <v>15</v>
      </c>
      <c r="C20" s="218" t="s">
        <v>272</v>
      </c>
      <c r="D20" s="464">
        <v>150308</v>
      </c>
      <c r="E20" s="408">
        <v>34022010</v>
      </c>
      <c r="F20" s="218">
        <v>25</v>
      </c>
      <c r="G20" s="220">
        <f t="shared" si="0"/>
        <v>17.796610169491526</v>
      </c>
      <c r="H20" s="222">
        <v>16</v>
      </c>
      <c r="I20" s="219"/>
      <c r="J20" s="221">
        <f t="shared" si="1"/>
        <v>17.796610169491526</v>
      </c>
      <c r="K20" s="221"/>
      <c r="L20" s="219"/>
      <c r="M20" s="222">
        <v>18</v>
      </c>
      <c r="N20" s="218">
        <v>72</v>
      </c>
      <c r="O20" s="218">
        <f t="shared" si="2"/>
        <v>-7</v>
      </c>
      <c r="P20" s="223">
        <v>-504</v>
      </c>
    </row>
    <row r="21" spans="1:17" x14ac:dyDescent="0.25">
      <c r="A21" s="217">
        <v>15</v>
      </c>
      <c r="B21" s="417" t="s">
        <v>15</v>
      </c>
      <c r="C21" s="218" t="s">
        <v>274</v>
      </c>
      <c r="D21" s="464">
        <v>150337</v>
      </c>
      <c r="E21" s="408">
        <v>34022010</v>
      </c>
      <c r="F21" s="218">
        <v>10</v>
      </c>
      <c r="G21" s="220">
        <f t="shared" si="0"/>
        <v>7.1186440677966107</v>
      </c>
      <c r="H21" s="222">
        <v>16</v>
      </c>
      <c r="I21" s="219">
        <v>0</v>
      </c>
      <c r="J21" s="221">
        <f t="shared" si="1"/>
        <v>7.1186440677966107</v>
      </c>
      <c r="K21" s="221"/>
      <c r="L21" s="219"/>
      <c r="M21" s="222">
        <v>18</v>
      </c>
      <c r="N21" s="218">
        <v>108</v>
      </c>
      <c r="O21" s="218">
        <f t="shared" si="2"/>
        <v>-31</v>
      </c>
      <c r="P21" s="223">
        <v>-3348</v>
      </c>
      <c r="Q21" s="419">
        <v>8906062349359</v>
      </c>
    </row>
    <row r="22" spans="1:17" x14ac:dyDescent="0.25">
      <c r="A22" s="217">
        <v>16</v>
      </c>
      <c r="B22" s="417" t="s">
        <v>15</v>
      </c>
      <c r="C22" s="218" t="s">
        <v>275</v>
      </c>
      <c r="D22" s="464">
        <v>150310</v>
      </c>
      <c r="E22" s="408">
        <v>34022010</v>
      </c>
      <c r="F22" s="218">
        <v>5</v>
      </c>
      <c r="G22" s="220">
        <f t="shared" si="0"/>
        <v>3.5593220338983054</v>
      </c>
      <c r="H22" s="222">
        <v>16</v>
      </c>
      <c r="I22" s="219"/>
      <c r="J22" s="221">
        <f t="shared" si="1"/>
        <v>3.5593220338983054</v>
      </c>
      <c r="K22" s="221"/>
      <c r="L22" s="219"/>
      <c r="M22" s="222">
        <v>18</v>
      </c>
      <c r="N22" s="218">
        <v>180</v>
      </c>
      <c r="O22" s="218">
        <f t="shared" si="2"/>
        <v>-1</v>
      </c>
      <c r="P22" s="223">
        <v>-180</v>
      </c>
    </row>
    <row r="23" spans="1:17" x14ac:dyDescent="0.25">
      <c r="A23" s="217">
        <v>17</v>
      </c>
      <c r="B23" s="417" t="s">
        <v>15</v>
      </c>
      <c r="C23" s="218" t="s">
        <v>195</v>
      </c>
      <c r="D23" s="464">
        <v>150321</v>
      </c>
      <c r="E23" s="408">
        <v>34022010</v>
      </c>
      <c r="F23" s="218">
        <v>299</v>
      </c>
      <c r="G23" s="220">
        <f t="shared" si="0"/>
        <v>212.84745762711864</v>
      </c>
      <c r="H23" s="222">
        <v>16</v>
      </c>
      <c r="I23" s="219"/>
      <c r="J23" s="221">
        <f t="shared" si="1"/>
        <v>212.84745762711864</v>
      </c>
      <c r="K23" s="221"/>
      <c r="L23" s="219"/>
      <c r="M23" s="222">
        <v>18</v>
      </c>
      <c r="N23" s="218">
        <v>6</v>
      </c>
      <c r="O23" s="218">
        <f t="shared" si="2"/>
        <v>-90</v>
      </c>
      <c r="P23" s="223">
        <v>-544</v>
      </c>
      <c r="Q23" s="419">
        <v>8906062349946</v>
      </c>
    </row>
    <row r="24" spans="1:17" x14ac:dyDescent="0.25">
      <c r="A24" s="217">
        <v>17</v>
      </c>
      <c r="B24" s="417" t="s">
        <v>15</v>
      </c>
      <c r="C24" s="218" t="s">
        <v>196</v>
      </c>
      <c r="D24" s="464">
        <v>150357</v>
      </c>
      <c r="E24" s="408">
        <v>34022010</v>
      </c>
      <c r="F24" s="218">
        <v>170</v>
      </c>
      <c r="G24" s="220">
        <f t="shared" si="0"/>
        <v>121.0169491525424</v>
      </c>
      <c r="H24" s="222">
        <v>16</v>
      </c>
      <c r="I24" s="219"/>
      <c r="J24" s="221">
        <f t="shared" si="1"/>
        <v>121.0169491525424</v>
      </c>
      <c r="K24" s="221"/>
      <c r="L24" s="219"/>
      <c r="M24" s="222">
        <v>18</v>
      </c>
      <c r="N24" s="218">
        <v>9</v>
      </c>
      <c r="O24" s="218">
        <f t="shared" si="2"/>
        <v>-25</v>
      </c>
      <c r="P24" s="223">
        <v>-225</v>
      </c>
    </row>
    <row r="25" spans="1:17" x14ac:dyDescent="0.25">
      <c r="A25" s="224">
        <v>27</v>
      </c>
      <c r="B25" s="417" t="s">
        <v>15</v>
      </c>
      <c r="C25" s="225" t="s">
        <v>276</v>
      </c>
      <c r="D25" s="465">
        <v>150312</v>
      </c>
      <c r="E25" s="409">
        <v>74741811</v>
      </c>
      <c r="F25" s="225">
        <v>16</v>
      </c>
      <c r="G25" s="227">
        <v>9.4920000000000009</v>
      </c>
      <c r="H25" s="222"/>
      <c r="I25" s="226"/>
      <c r="J25" s="221">
        <f t="shared" si="1"/>
        <v>11.389830508474576</v>
      </c>
      <c r="K25" s="221"/>
      <c r="L25" s="226"/>
      <c r="M25" s="228">
        <v>18</v>
      </c>
      <c r="N25" s="225">
        <v>300</v>
      </c>
      <c r="O25" s="218">
        <f t="shared" si="2"/>
        <v>-6</v>
      </c>
      <c r="P25" s="223">
        <v>-1940</v>
      </c>
      <c r="Q25" s="419">
        <v>8906062349427</v>
      </c>
    </row>
    <row r="26" spans="1:17" x14ac:dyDescent="0.25">
      <c r="A26" s="224">
        <v>18</v>
      </c>
      <c r="B26" s="417" t="s">
        <v>15</v>
      </c>
      <c r="C26" s="225" t="s">
        <v>277</v>
      </c>
      <c r="D26" s="465">
        <v>280243</v>
      </c>
      <c r="E26" s="409">
        <v>38089400</v>
      </c>
      <c r="F26" s="225">
        <v>125</v>
      </c>
      <c r="G26" s="220">
        <f t="shared" si="0"/>
        <v>88.983050847457633</v>
      </c>
      <c r="H26" s="222">
        <v>16</v>
      </c>
      <c r="I26" s="226"/>
      <c r="J26" s="221">
        <f t="shared" si="1"/>
        <v>88.983050847457633</v>
      </c>
      <c r="K26" s="221"/>
      <c r="L26" s="226"/>
      <c r="M26" s="228">
        <v>18</v>
      </c>
      <c r="N26" s="225">
        <v>18</v>
      </c>
      <c r="O26" s="218">
        <f t="shared" si="2"/>
        <v>-9</v>
      </c>
      <c r="P26" s="223">
        <v>-172</v>
      </c>
    </row>
    <row r="27" spans="1:17" x14ac:dyDescent="0.25">
      <c r="A27" s="224">
        <v>19</v>
      </c>
      <c r="B27" s="417" t="s">
        <v>15</v>
      </c>
      <c r="C27" s="225" t="s">
        <v>329</v>
      </c>
      <c r="D27" s="465">
        <v>280241</v>
      </c>
      <c r="E27" s="409">
        <v>38089400</v>
      </c>
      <c r="F27" s="225">
        <v>76</v>
      </c>
      <c r="G27" s="220">
        <f t="shared" ref="G27" si="6">(F27-F27*H27%)/(1+M27/100)</f>
        <v>54.101694915254242</v>
      </c>
      <c r="H27" s="222">
        <v>16</v>
      </c>
      <c r="I27" s="226"/>
      <c r="J27" s="221">
        <f t="shared" ref="J27" si="7">(F27-F27*16%)/1.18</f>
        <v>54.101694915254242</v>
      </c>
      <c r="K27" s="221"/>
      <c r="L27" s="226"/>
      <c r="M27" s="228">
        <v>18</v>
      </c>
      <c r="N27" s="225">
        <v>30</v>
      </c>
      <c r="O27" s="218">
        <f t="shared" ref="O27" si="8">IFERROR(ROUNDDOWN(P27/N27,"0.5"),0)</f>
        <v>-63</v>
      </c>
      <c r="P27" s="223">
        <v>-1890</v>
      </c>
      <c r="Q27" s="419">
        <v>8906062349663</v>
      </c>
    </row>
    <row r="28" spans="1:17" x14ac:dyDescent="0.25">
      <c r="A28" s="224">
        <v>19</v>
      </c>
      <c r="B28" s="417" t="s">
        <v>15</v>
      </c>
      <c r="C28" s="225" t="s">
        <v>330</v>
      </c>
      <c r="D28" s="465">
        <v>280241</v>
      </c>
      <c r="E28" s="409">
        <v>38089400</v>
      </c>
      <c r="F28" s="225">
        <v>72</v>
      </c>
      <c r="G28" s="220">
        <f t="shared" si="0"/>
        <v>51.254237288135599</v>
      </c>
      <c r="H28" s="222">
        <v>16</v>
      </c>
      <c r="I28" s="226"/>
      <c r="J28" s="221">
        <f t="shared" si="1"/>
        <v>51.254237288135599</v>
      </c>
      <c r="K28" s="221"/>
      <c r="L28" s="226"/>
      <c r="M28" s="228">
        <v>18</v>
      </c>
      <c r="N28" s="225">
        <v>30</v>
      </c>
      <c r="O28" s="218">
        <f t="shared" si="2"/>
        <v>-48</v>
      </c>
      <c r="P28" s="223">
        <v>-1464</v>
      </c>
      <c r="Q28" s="419">
        <v>8906062349663</v>
      </c>
    </row>
    <row r="29" spans="1:17" x14ac:dyDescent="0.25">
      <c r="A29" s="224">
        <v>20</v>
      </c>
      <c r="B29" s="417" t="s">
        <v>15</v>
      </c>
      <c r="C29" s="225" t="s">
        <v>279</v>
      </c>
      <c r="D29" s="465">
        <v>280245</v>
      </c>
      <c r="E29" s="409">
        <v>38089400</v>
      </c>
      <c r="F29" s="225">
        <v>29</v>
      </c>
      <c r="G29" s="220">
        <f t="shared" si="0"/>
        <v>20.64406779661017</v>
      </c>
      <c r="H29" s="222">
        <v>16</v>
      </c>
      <c r="I29" s="226"/>
      <c r="J29" s="221">
        <f t="shared" si="1"/>
        <v>20.64406779661017</v>
      </c>
      <c r="K29" s="221"/>
      <c r="L29" s="226"/>
      <c r="M29" s="228">
        <v>18</v>
      </c>
      <c r="N29" s="225">
        <v>60</v>
      </c>
      <c r="O29" s="218">
        <f t="shared" si="2"/>
        <v>0</v>
      </c>
      <c r="P29" s="223">
        <v>-45</v>
      </c>
    </row>
    <row r="30" spans="1:17" x14ac:dyDescent="0.25">
      <c r="A30" s="224">
        <v>25</v>
      </c>
      <c r="B30" s="417" t="s">
        <v>15</v>
      </c>
      <c r="C30" s="225" t="s">
        <v>278</v>
      </c>
      <c r="D30" s="465">
        <v>280242</v>
      </c>
      <c r="E30" s="409">
        <v>38089400</v>
      </c>
      <c r="F30" s="225">
        <v>125</v>
      </c>
      <c r="G30" s="220">
        <f t="shared" si="0"/>
        <v>88.983050847457633</v>
      </c>
      <c r="H30" s="222">
        <v>16</v>
      </c>
      <c r="I30" s="226"/>
      <c r="J30" s="221">
        <f t="shared" si="1"/>
        <v>88.983050847457633</v>
      </c>
      <c r="K30" s="221"/>
      <c r="L30" s="226"/>
      <c r="M30" s="228">
        <v>18</v>
      </c>
      <c r="N30" s="225">
        <v>12</v>
      </c>
      <c r="O30" s="218">
        <f t="shared" si="2"/>
        <v>-102</v>
      </c>
      <c r="P30" s="223">
        <v>-1227</v>
      </c>
      <c r="Q30" s="419">
        <v>8906062349885</v>
      </c>
    </row>
    <row r="31" spans="1:17" x14ac:dyDescent="0.25">
      <c r="A31" s="224">
        <v>22</v>
      </c>
      <c r="B31" s="417" t="s">
        <v>15</v>
      </c>
      <c r="C31" s="225" t="s">
        <v>280</v>
      </c>
      <c r="D31" s="465">
        <v>280242</v>
      </c>
      <c r="E31" s="409">
        <v>38089400</v>
      </c>
      <c r="F31" s="225">
        <v>125</v>
      </c>
      <c r="G31" s="220">
        <f t="shared" si="0"/>
        <v>88.983050847457633</v>
      </c>
      <c r="H31" s="222">
        <v>16</v>
      </c>
      <c r="I31" s="226"/>
      <c r="J31" s="221">
        <f t="shared" si="1"/>
        <v>88.983050847457633</v>
      </c>
      <c r="K31" s="221"/>
      <c r="L31" s="226"/>
      <c r="M31" s="228">
        <v>18</v>
      </c>
      <c r="N31" s="225">
        <v>12</v>
      </c>
      <c r="O31" s="218">
        <f t="shared" si="2"/>
        <v>-44</v>
      </c>
      <c r="P31" s="223">
        <v>-534</v>
      </c>
      <c r="Q31" s="419">
        <v>8906062349892</v>
      </c>
    </row>
    <row r="32" spans="1:17" x14ac:dyDescent="0.25">
      <c r="A32" s="224">
        <v>21</v>
      </c>
      <c r="B32" s="417" t="s">
        <v>15</v>
      </c>
      <c r="C32" s="225" t="s">
        <v>281</v>
      </c>
      <c r="D32" s="465">
        <v>280244</v>
      </c>
      <c r="E32" s="409">
        <v>38089400</v>
      </c>
      <c r="F32" s="225">
        <v>79</v>
      </c>
      <c r="G32" s="220">
        <f t="shared" si="0"/>
        <v>56.237288135593225</v>
      </c>
      <c r="H32" s="222">
        <v>16</v>
      </c>
      <c r="I32" s="226"/>
      <c r="J32" s="221">
        <f t="shared" si="1"/>
        <v>56.237288135593225</v>
      </c>
      <c r="K32" s="221"/>
      <c r="L32" s="226"/>
      <c r="M32" s="228">
        <v>18</v>
      </c>
      <c r="N32" s="225">
        <v>12</v>
      </c>
      <c r="O32" s="218">
        <f t="shared" si="2"/>
        <v>-10</v>
      </c>
      <c r="P32" s="223">
        <v>-126</v>
      </c>
    </row>
    <row r="33" spans="1:18" x14ac:dyDescent="0.25">
      <c r="A33" s="224">
        <v>23</v>
      </c>
      <c r="B33" s="417" t="s">
        <v>15</v>
      </c>
      <c r="C33" s="225" t="s">
        <v>282</v>
      </c>
      <c r="D33" s="465">
        <v>280254</v>
      </c>
      <c r="E33" s="409">
        <v>38089400</v>
      </c>
      <c r="F33" s="225">
        <v>30</v>
      </c>
      <c r="G33" s="220">
        <f t="shared" si="0"/>
        <v>21.35593220338983</v>
      </c>
      <c r="H33" s="222">
        <v>16</v>
      </c>
      <c r="I33" s="226"/>
      <c r="J33" s="221">
        <f t="shared" si="1"/>
        <v>21.35593220338983</v>
      </c>
      <c r="K33" s="221"/>
      <c r="L33" s="226"/>
      <c r="M33" s="228">
        <v>18</v>
      </c>
      <c r="N33" s="225">
        <v>60</v>
      </c>
      <c r="O33" s="218">
        <f t="shared" si="2"/>
        <v>-1</v>
      </c>
      <c r="P33" s="223">
        <v>-85</v>
      </c>
    </row>
    <row r="34" spans="1:18" x14ac:dyDescent="0.25">
      <c r="A34" s="224">
        <v>24</v>
      </c>
      <c r="B34" s="417" t="s">
        <v>15</v>
      </c>
      <c r="C34" s="225" t="s">
        <v>283</v>
      </c>
      <c r="D34" s="465">
        <v>280244</v>
      </c>
      <c r="E34" s="409">
        <v>38089400</v>
      </c>
      <c r="F34" s="225">
        <v>73</v>
      </c>
      <c r="G34" s="220">
        <f t="shared" si="0"/>
        <v>51.96610169491526</v>
      </c>
      <c r="H34" s="222">
        <v>16</v>
      </c>
      <c r="I34" s="226">
        <v>0</v>
      </c>
      <c r="J34" s="221">
        <f t="shared" si="1"/>
        <v>51.96610169491526</v>
      </c>
      <c r="K34" s="221"/>
      <c r="L34" s="226"/>
      <c r="M34" s="228">
        <v>18</v>
      </c>
      <c r="N34" s="225">
        <v>20</v>
      </c>
      <c r="O34" s="218">
        <f t="shared" si="2"/>
        <v>-3</v>
      </c>
      <c r="P34" s="223">
        <v>-60</v>
      </c>
    </row>
    <row r="35" spans="1:18" x14ac:dyDescent="0.25">
      <c r="A35" s="224"/>
      <c r="B35" s="417"/>
      <c r="C35" s="225"/>
      <c r="D35" s="465"/>
      <c r="E35" s="409">
        <v>0</v>
      </c>
      <c r="F35" s="225">
        <v>0</v>
      </c>
      <c r="G35" s="227"/>
      <c r="H35" s="228"/>
      <c r="I35" s="226">
        <v>0</v>
      </c>
      <c r="J35" s="221"/>
      <c r="K35" s="221"/>
      <c r="L35" s="226"/>
      <c r="M35" s="228">
        <v>0</v>
      </c>
      <c r="N35" s="225">
        <v>0</v>
      </c>
      <c r="O35" s="218"/>
      <c r="P35" s="223">
        <v>0</v>
      </c>
    </row>
    <row r="36" spans="1:18" x14ac:dyDescent="0.25">
      <c r="A36" s="224"/>
      <c r="B36" s="417"/>
      <c r="C36" s="225"/>
      <c r="D36" s="465"/>
      <c r="E36" s="409">
        <v>0</v>
      </c>
      <c r="F36" s="225">
        <v>0</v>
      </c>
      <c r="G36" s="227"/>
      <c r="H36" s="228"/>
      <c r="I36" s="226">
        <v>0</v>
      </c>
      <c r="J36" s="221"/>
      <c r="K36" s="221"/>
      <c r="L36" s="226"/>
      <c r="M36" s="228">
        <v>0</v>
      </c>
      <c r="N36" s="225">
        <v>0</v>
      </c>
      <c r="O36" s="218"/>
      <c r="P36" s="223">
        <v>0</v>
      </c>
    </row>
    <row r="37" spans="1:18" x14ac:dyDescent="0.25">
      <c r="A37" s="38">
        <v>27</v>
      </c>
      <c r="B37" s="406" t="s">
        <v>16</v>
      </c>
      <c r="C37" s="39" t="s">
        <v>197</v>
      </c>
      <c r="D37" s="466">
        <v>180183</v>
      </c>
      <c r="E37" s="410">
        <v>19021900</v>
      </c>
      <c r="F37" s="41">
        <v>10</v>
      </c>
      <c r="G37" s="42">
        <f>(F37/H37)/(1+M37/100)</f>
        <v>8.1168831168831144</v>
      </c>
      <c r="H37" s="428">
        <v>1.1000000000000001</v>
      </c>
      <c r="I37" s="40">
        <v>2</v>
      </c>
      <c r="J37" s="68">
        <f t="shared" ref="J37:J44" si="9">(F37/1.15)/1.12</f>
        <v>7.7639751552795033</v>
      </c>
      <c r="K37" s="68"/>
      <c r="L37" s="40"/>
      <c r="M37" s="43">
        <v>12</v>
      </c>
      <c r="N37" s="41">
        <v>120</v>
      </c>
      <c r="O37" s="59">
        <f>IFERROR(ROUNDDOWN(P37/N37,"0.5"),0)</f>
        <v>-21</v>
      </c>
      <c r="P37" s="423">
        <v>-2551</v>
      </c>
      <c r="Q37" s="419">
        <v>8901014002023</v>
      </c>
    </row>
    <row r="38" spans="1:18" x14ac:dyDescent="0.25">
      <c r="A38" s="38">
        <v>28</v>
      </c>
      <c r="B38" s="406" t="s">
        <v>16</v>
      </c>
      <c r="C38" s="39" t="s">
        <v>198</v>
      </c>
      <c r="D38" s="466">
        <v>180176</v>
      </c>
      <c r="E38" s="410">
        <v>19021900</v>
      </c>
      <c r="F38" s="41">
        <v>20</v>
      </c>
      <c r="G38" s="42">
        <f t="shared" ref="G38:G44" si="10">(F38/H38)/(1+M38/100)</f>
        <v>16.233766233766229</v>
      </c>
      <c r="H38" s="428">
        <v>1.1000000000000001</v>
      </c>
      <c r="I38" s="40">
        <v>2</v>
      </c>
      <c r="J38" s="68">
        <f t="shared" si="9"/>
        <v>15.527950310559007</v>
      </c>
      <c r="K38" s="68"/>
      <c r="L38" s="40"/>
      <c r="M38" s="43">
        <v>12</v>
      </c>
      <c r="N38" s="41">
        <v>60</v>
      </c>
      <c r="O38" s="59">
        <f>IFERROR(ROUNDDOWN(P38/N38,"0.5"),0)</f>
        <v>-49</v>
      </c>
      <c r="P38" s="423">
        <v>-2989</v>
      </c>
      <c r="Q38" s="419">
        <v>8901014002030</v>
      </c>
    </row>
    <row r="39" spans="1:18" x14ac:dyDescent="0.25">
      <c r="A39" s="38">
        <v>29</v>
      </c>
      <c r="B39" s="406" t="s">
        <v>16</v>
      </c>
      <c r="C39" s="39" t="s">
        <v>199</v>
      </c>
      <c r="D39" s="466">
        <v>180142</v>
      </c>
      <c r="E39" s="410">
        <v>19021900</v>
      </c>
      <c r="F39" s="41">
        <v>40</v>
      </c>
      <c r="G39" s="42">
        <f t="shared" si="10"/>
        <v>32.467532467532457</v>
      </c>
      <c r="H39" s="428">
        <v>1.1000000000000001</v>
      </c>
      <c r="I39" s="40">
        <v>2</v>
      </c>
      <c r="J39" s="68">
        <f t="shared" si="9"/>
        <v>31.055900621118013</v>
      </c>
      <c r="K39" s="68"/>
      <c r="L39" s="40"/>
      <c r="M39" s="43">
        <v>12</v>
      </c>
      <c r="N39" s="41">
        <v>30</v>
      </c>
      <c r="O39" s="59">
        <f>IFERROR(ROUNDDOWN(P39/N39,"0.5"),0)</f>
        <v>-84</v>
      </c>
      <c r="P39" s="423">
        <v>-2532</v>
      </c>
      <c r="Q39" s="419">
        <v>8901014002047</v>
      </c>
    </row>
    <row r="40" spans="1:18" x14ac:dyDescent="0.25">
      <c r="A40" s="38">
        <v>30</v>
      </c>
      <c r="B40" s="406" t="s">
        <v>16</v>
      </c>
      <c r="C40" s="39" t="s">
        <v>200</v>
      </c>
      <c r="D40" s="466">
        <v>180479</v>
      </c>
      <c r="E40" s="410">
        <v>19021900</v>
      </c>
      <c r="F40" s="41">
        <v>60</v>
      </c>
      <c r="G40" s="42">
        <f t="shared" si="10"/>
        <v>48.70129870129869</v>
      </c>
      <c r="H40" s="428">
        <v>1.1000000000000001</v>
      </c>
      <c r="I40" s="40">
        <v>2</v>
      </c>
      <c r="J40" s="68">
        <f t="shared" si="9"/>
        <v>46.58385093167702</v>
      </c>
      <c r="K40" s="68"/>
      <c r="L40" s="40"/>
      <c r="M40" s="43">
        <v>12</v>
      </c>
      <c r="N40" s="41">
        <v>20</v>
      </c>
      <c r="O40" s="59">
        <f>IFERROR(ROUNDDOWN(P40/N40,"0.5"),0)</f>
        <v>-65</v>
      </c>
      <c r="P40" s="423">
        <v>-1300</v>
      </c>
      <c r="Q40" s="419">
        <v>8901014002054</v>
      </c>
    </row>
    <row r="41" spans="1:18" x14ac:dyDescent="0.25">
      <c r="A41" s="38">
        <v>31</v>
      </c>
      <c r="B41" s="406" t="s">
        <v>16</v>
      </c>
      <c r="C41" s="39" t="s">
        <v>201</v>
      </c>
      <c r="D41" s="466">
        <v>180184</v>
      </c>
      <c r="E41" s="410">
        <v>19021900</v>
      </c>
      <c r="F41" s="41">
        <v>15</v>
      </c>
      <c r="G41" s="42">
        <f t="shared" si="10"/>
        <v>12.175324675324672</v>
      </c>
      <c r="H41" s="428">
        <v>1.1000000000000001</v>
      </c>
      <c r="I41" s="40">
        <v>2</v>
      </c>
      <c r="J41" s="68">
        <f t="shared" si="9"/>
        <v>11.645962732919255</v>
      </c>
      <c r="K41" s="68"/>
      <c r="L41" s="40"/>
      <c r="M41" s="43">
        <v>12</v>
      </c>
      <c r="N41" s="41">
        <v>120</v>
      </c>
      <c r="O41" s="59">
        <f>IFERROR(ROUNDDOWN(P41/N41,"0.5"),0)</f>
        <v>0</v>
      </c>
      <c r="P41" s="423">
        <v>0</v>
      </c>
    </row>
    <row r="42" spans="1:18" x14ac:dyDescent="0.25">
      <c r="A42" s="38">
        <v>32</v>
      </c>
      <c r="B42" s="406" t="s">
        <v>16</v>
      </c>
      <c r="C42" s="39" t="s">
        <v>202</v>
      </c>
      <c r="D42" s="466">
        <v>180436</v>
      </c>
      <c r="E42" s="410">
        <v>19021900</v>
      </c>
      <c r="F42" s="41">
        <v>60</v>
      </c>
      <c r="G42" s="42">
        <f t="shared" si="10"/>
        <v>48.70129870129869</v>
      </c>
      <c r="H42" s="428">
        <v>1.1000000000000001</v>
      </c>
      <c r="I42" s="40">
        <v>2</v>
      </c>
      <c r="J42" s="68">
        <f t="shared" si="9"/>
        <v>46.58385093167702</v>
      </c>
      <c r="K42" s="68"/>
      <c r="L42" s="40"/>
      <c r="M42" s="43">
        <v>12</v>
      </c>
      <c r="N42" s="41">
        <v>30</v>
      </c>
      <c r="O42" s="59"/>
      <c r="P42" s="423">
        <v>-540</v>
      </c>
      <c r="Q42" s="419">
        <v>8901014011124</v>
      </c>
    </row>
    <row r="43" spans="1:18" x14ac:dyDescent="0.25">
      <c r="A43" s="38">
        <v>33</v>
      </c>
      <c r="B43" s="406" t="s">
        <v>16</v>
      </c>
      <c r="C43" s="39" t="s">
        <v>203</v>
      </c>
      <c r="D43" s="466">
        <v>180193</v>
      </c>
      <c r="E43" s="410">
        <v>19021900</v>
      </c>
      <c r="F43" s="41">
        <v>80</v>
      </c>
      <c r="G43" s="42">
        <f t="shared" si="10"/>
        <v>64.935064935064915</v>
      </c>
      <c r="H43" s="428">
        <v>1.1000000000000001</v>
      </c>
      <c r="I43" s="40">
        <v>2</v>
      </c>
      <c r="J43" s="68">
        <f t="shared" si="9"/>
        <v>62.111801242236027</v>
      </c>
      <c r="K43" s="68"/>
      <c r="L43" s="40"/>
      <c r="M43" s="43">
        <v>12</v>
      </c>
      <c r="N43" s="41">
        <v>30</v>
      </c>
      <c r="O43" s="59">
        <f>IFERROR(ROUNDDOWN(P43/N43,"0.5"),0)</f>
        <v>-19</v>
      </c>
      <c r="P43" s="423">
        <v>-599</v>
      </c>
      <c r="Q43" s="419">
        <v>8901014003181</v>
      </c>
    </row>
    <row r="44" spans="1:18" x14ac:dyDescent="0.25">
      <c r="A44" s="38">
        <v>34</v>
      </c>
      <c r="B44" s="406" t="s">
        <v>16</v>
      </c>
      <c r="C44" s="39" t="s">
        <v>204</v>
      </c>
      <c r="D44" s="466">
        <v>180112</v>
      </c>
      <c r="E44" s="410">
        <v>19021900</v>
      </c>
      <c r="F44" s="41">
        <v>40</v>
      </c>
      <c r="G44" s="42">
        <f t="shared" si="10"/>
        <v>32.467532467532457</v>
      </c>
      <c r="H44" s="428">
        <v>1.1000000000000001</v>
      </c>
      <c r="I44" s="40">
        <v>2</v>
      </c>
      <c r="J44" s="68">
        <f t="shared" si="9"/>
        <v>31.055900621118013</v>
      </c>
      <c r="K44" s="68"/>
      <c r="L44" s="40"/>
      <c r="M44" s="43">
        <v>12</v>
      </c>
      <c r="N44" s="41">
        <v>48</v>
      </c>
      <c r="O44" s="59">
        <f>IFERROR(ROUNDDOWN(P44/N44,"0.5"),0)</f>
        <v>-6</v>
      </c>
      <c r="P44" s="423">
        <v>-324</v>
      </c>
      <c r="Q44" s="419">
        <v>8901014004935</v>
      </c>
      <c r="R44" s="419">
        <v>8901014012312</v>
      </c>
    </row>
    <row r="45" spans="1:18" x14ac:dyDescent="0.25">
      <c r="A45" s="38"/>
      <c r="B45" s="406"/>
      <c r="C45" s="39"/>
      <c r="D45" s="466"/>
      <c r="E45" s="410">
        <v>0</v>
      </c>
      <c r="F45" s="41">
        <v>0</v>
      </c>
      <c r="G45" s="42"/>
      <c r="H45" s="428"/>
      <c r="I45" s="40">
        <v>0</v>
      </c>
      <c r="J45" s="68"/>
      <c r="K45" s="68"/>
      <c r="L45" s="40"/>
      <c r="M45" s="43">
        <v>0</v>
      </c>
      <c r="N45" s="41">
        <v>0</v>
      </c>
      <c r="O45" s="59"/>
      <c r="P45" s="423">
        <v>0</v>
      </c>
    </row>
    <row r="46" spans="1:18" x14ac:dyDescent="0.25">
      <c r="A46" s="38"/>
      <c r="B46" s="406"/>
      <c r="C46" s="39"/>
      <c r="D46" s="466"/>
      <c r="E46" s="410">
        <v>0</v>
      </c>
      <c r="F46" s="41">
        <v>0</v>
      </c>
      <c r="G46" s="42"/>
      <c r="H46" s="428"/>
      <c r="I46" s="40">
        <v>0</v>
      </c>
      <c r="J46" s="68"/>
      <c r="K46" s="68"/>
      <c r="L46" s="40"/>
      <c r="M46" s="43">
        <v>0</v>
      </c>
      <c r="N46" s="41">
        <v>0</v>
      </c>
      <c r="O46" s="59"/>
      <c r="P46" s="423">
        <v>0</v>
      </c>
    </row>
    <row r="47" spans="1:18" x14ac:dyDescent="0.25">
      <c r="A47" s="229">
        <v>33</v>
      </c>
      <c r="B47" s="405" t="s">
        <v>18</v>
      </c>
      <c r="C47" s="230" t="s">
        <v>205</v>
      </c>
      <c r="D47" s="467">
        <v>300180</v>
      </c>
      <c r="E47" s="411">
        <v>22029033</v>
      </c>
      <c r="F47" s="232">
        <v>99</v>
      </c>
      <c r="G47" s="233">
        <f>(F47/H47)/(1+M47/100)</f>
        <v>76.863354037267086</v>
      </c>
      <c r="H47" s="429">
        <v>1.1499999999999999</v>
      </c>
      <c r="I47" s="231">
        <v>2</v>
      </c>
      <c r="J47" s="233">
        <f t="shared" ref="J47:J55" si="11">(F47/1.16)/1.12</f>
        <v>76.200738916256157</v>
      </c>
      <c r="K47" s="233"/>
      <c r="L47" s="231"/>
      <c r="M47" s="234">
        <v>12</v>
      </c>
      <c r="N47" s="235">
        <v>12</v>
      </c>
      <c r="O47" s="232">
        <f t="shared" ref="O47:O53" si="12">IFERROR(ROUNDDOWN(P47/N47,"0.5"),0)</f>
        <v>-16</v>
      </c>
      <c r="P47" s="424">
        <v>-202</v>
      </c>
      <c r="Q47" s="419">
        <v>8901023011726</v>
      </c>
    </row>
    <row r="48" spans="1:18" x14ac:dyDescent="0.25">
      <c r="A48" s="229">
        <v>34</v>
      </c>
      <c r="B48" s="405" t="s">
        <v>18</v>
      </c>
      <c r="C48" s="230" t="s">
        <v>206</v>
      </c>
      <c r="D48" s="467"/>
      <c r="E48" s="411">
        <v>22029033</v>
      </c>
      <c r="F48" s="232">
        <v>120</v>
      </c>
      <c r="G48" s="233">
        <f t="shared" ref="G48:G53" si="13">(F48/H48)/(1+M48/100)</f>
        <v>93.16770186335404</v>
      </c>
      <c r="H48" s="429">
        <v>1.1499999999999999</v>
      </c>
      <c r="I48" s="231">
        <v>2</v>
      </c>
      <c r="J48" s="233">
        <f t="shared" si="11"/>
        <v>92.364532019704427</v>
      </c>
      <c r="K48" s="233"/>
      <c r="L48" s="231"/>
      <c r="M48" s="234">
        <v>12</v>
      </c>
      <c r="N48" s="235">
        <v>12</v>
      </c>
      <c r="O48" s="232">
        <f t="shared" si="12"/>
        <v>-1</v>
      </c>
      <c r="P48" s="424">
        <v>-20</v>
      </c>
    </row>
    <row r="49" spans="1:23" x14ac:dyDescent="0.25">
      <c r="A49" s="229">
        <v>35</v>
      </c>
      <c r="B49" s="405" t="s">
        <v>18</v>
      </c>
      <c r="C49" s="230" t="s">
        <v>207</v>
      </c>
      <c r="D49" s="467">
        <v>300182</v>
      </c>
      <c r="E49" s="411">
        <v>22029033</v>
      </c>
      <c r="F49" s="232">
        <v>15</v>
      </c>
      <c r="G49" s="233">
        <f t="shared" si="13"/>
        <v>11.645962732919255</v>
      </c>
      <c r="H49" s="429">
        <v>1.1499999999999999</v>
      </c>
      <c r="I49" s="231">
        <v>2</v>
      </c>
      <c r="J49" s="233">
        <f t="shared" si="11"/>
        <v>11.545566502463053</v>
      </c>
      <c r="K49" s="233"/>
      <c r="L49" s="231"/>
      <c r="M49" s="234">
        <v>12</v>
      </c>
      <c r="N49" s="235">
        <v>36</v>
      </c>
      <c r="O49" s="232">
        <f t="shared" si="12"/>
        <v>-2</v>
      </c>
      <c r="P49" s="424">
        <v>-72</v>
      </c>
    </row>
    <row r="50" spans="1:23" x14ac:dyDescent="0.25">
      <c r="A50" s="229">
        <v>36</v>
      </c>
      <c r="B50" s="405" t="s">
        <v>18</v>
      </c>
      <c r="C50" s="230" t="s">
        <v>208</v>
      </c>
      <c r="D50" s="467">
        <v>300159</v>
      </c>
      <c r="E50" s="411">
        <v>22029033</v>
      </c>
      <c r="F50" s="232">
        <v>20</v>
      </c>
      <c r="G50" s="233">
        <f t="shared" si="13"/>
        <v>15.527950310559007</v>
      </c>
      <c r="H50" s="429">
        <v>1.1499999999999999</v>
      </c>
      <c r="I50" s="231">
        <v>2</v>
      </c>
      <c r="J50" s="233">
        <f t="shared" si="11"/>
        <v>15.394088669950738</v>
      </c>
      <c r="K50" s="233"/>
      <c r="L50" s="231"/>
      <c r="M50" s="234">
        <v>12</v>
      </c>
      <c r="N50" s="235">
        <v>36</v>
      </c>
      <c r="O50" s="232">
        <f t="shared" si="12"/>
        <v>-49</v>
      </c>
      <c r="P50" s="424">
        <v>-1767</v>
      </c>
      <c r="Q50" s="419">
        <v>8901450001239</v>
      </c>
    </row>
    <row r="51" spans="1:23" x14ac:dyDescent="0.25">
      <c r="A51" s="229">
        <v>37</v>
      </c>
      <c r="B51" s="405" t="s">
        <v>18</v>
      </c>
      <c r="C51" s="230" t="s">
        <v>209</v>
      </c>
      <c r="D51" s="467"/>
      <c r="E51" s="411">
        <v>22029033</v>
      </c>
      <c r="F51" s="232">
        <v>25</v>
      </c>
      <c r="G51" s="233">
        <f t="shared" si="13"/>
        <v>19.409937888198755</v>
      </c>
      <c r="H51" s="429">
        <v>1.1499999999999999</v>
      </c>
      <c r="I51" s="231">
        <v>2</v>
      </c>
      <c r="J51" s="233">
        <f t="shared" si="11"/>
        <v>19.242610837438423</v>
      </c>
      <c r="K51" s="233"/>
      <c r="L51" s="231"/>
      <c r="M51" s="234">
        <v>12</v>
      </c>
      <c r="N51" s="235">
        <v>36</v>
      </c>
      <c r="O51" s="232">
        <f t="shared" si="12"/>
        <v>0</v>
      </c>
      <c r="P51" s="424">
        <v>0</v>
      </c>
    </row>
    <row r="52" spans="1:23" x14ac:dyDescent="0.25">
      <c r="A52" s="229"/>
      <c r="B52" s="405" t="s">
        <v>18</v>
      </c>
      <c r="C52" s="232" t="s">
        <v>210</v>
      </c>
      <c r="D52" s="467">
        <v>181028</v>
      </c>
      <c r="E52" s="411">
        <v>210690</v>
      </c>
      <c r="F52" s="232">
        <v>5</v>
      </c>
      <c r="G52" s="233">
        <f t="shared" si="13"/>
        <v>4.1407867494824018</v>
      </c>
      <c r="H52" s="429">
        <v>1.1499999999999999</v>
      </c>
      <c r="I52" s="231">
        <v>2</v>
      </c>
      <c r="J52" s="233">
        <f t="shared" si="11"/>
        <v>3.8485221674876846</v>
      </c>
      <c r="K52" s="233"/>
      <c r="L52" s="231"/>
      <c r="M52" s="234">
        <v>5</v>
      </c>
      <c r="N52" s="235">
        <v>50</v>
      </c>
      <c r="O52" s="232">
        <f t="shared" si="12"/>
        <v>-24</v>
      </c>
      <c r="P52" s="424">
        <v>-1200</v>
      </c>
    </row>
    <row r="53" spans="1:23" x14ac:dyDescent="0.25">
      <c r="A53" s="229">
        <v>38</v>
      </c>
      <c r="B53" s="405" t="s">
        <v>18</v>
      </c>
      <c r="C53" s="232" t="s">
        <v>211</v>
      </c>
      <c r="D53" s="467">
        <v>181028</v>
      </c>
      <c r="E53" s="411">
        <v>210690</v>
      </c>
      <c r="F53" s="232">
        <v>250</v>
      </c>
      <c r="G53" s="233">
        <f t="shared" si="13"/>
        <v>207.03933747412009</v>
      </c>
      <c r="H53" s="429">
        <v>1.1499999999999999</v>
      </c>
      <c r="I53" s="231">
        <v>2</v>
      </c>
      <c r="J53" s="233">
        <f t="shared" si="11"/>
        <v>192.42610837438423</v>
      </c>
      <c r="K53" s="233"/>
      <c r="L53" s="231"/>
      <c r="M53" s="234">
        <v>5</v>
      </c>
      <c r="N53" s="235">
        <v>1</v>
      </c>
      <c r="O53" s="232">
        <f t="shared" si="12"/>
        <v>-3</v>
      </c>
      <c r="P53" s="424">
        <v>-3</v>
      </c>
    </row>
    <row r="54" spans="1:23" x14ac:dyDescent="0.25">
      <c r="A54" s="229"/>
      <c r="B54" s="405"/>
      <c r="C54" s="232"/>
      <c r="D54" s="467"/>
      <c r="E54" s="411">
        <v>0</v>
      </c>
      <c r="F54" s="232">
        <v>0</v>
      </c>
      <c r="G54" s="236"/>
      <c r="H54" s="234"/>
      <c r="I54" s="231">
        <v>0</v>
      </c>
      <c r="J54" s="233">
        <f t="shared" si="11"/>
        <v>0</v>
      </c>
      <c r="K54" s="233"/>
      <c r="L54" s="231"/>
      <c r="M54" s="234">
        <v>0</v>
      </c>
      <c r="N54" s="235">
        <v>0</v>
      </c>
      <c r="O54" s="232"/>
      <c r="P54" s="424">
        <v>0</v>
      </c>
    </row>
    <row r="55" spans="1:23" x14ac:dyDescent="0.25">
      <c r="A55" s="229"/>
      <c r="B55" s="405"/>
      <c r="C55" s="232"/>
      <c r="D55" s="467"/>
      <c r="E55" s="411">
        <v>0</v>
      </c>
      <c r="F55" s="232">
        <v>0</v>
      </c>
      <c r="G55" s="236"/>
      <c r="H55" s="234"/>
      <c r="I55" s="231">
        <v>0</v>
      </c>
      <c r="J55" s="233">
        <f t="shared" si="11"/>
        <v>0</v>
      </c>
      <c r="K55" s="233"/>
      <c r="L55" s="231"/>
      <c r="M55" s="234">
        <v>0</v>
      </c>
      <c r="N55" s="235">
        <v>0</v>
      </c>
      <c r="O55" s="232"/>
      <c r="P55" s="424">
        <v>0</v>
      </c>
      <c r="Q55" s="420"/>
      <c r="R55" s="420"/>
      <c r="S55" s="420"/>
      <c r="T55" s="420"/>
      <c r="U55" s="420"/>
      <c r="V55" s="420"/>
      <c r="W55" s="420"/>
    </row>
    <row r="56" spans="1:23" s="8" customFormat="1" x14ac:dyDescent="0.25">
      <c r="A56" s="44">
        <v>39</v>
      </c>
      <c r="B56" s="404" t="s">
        <v>17</v>
      </c>
      <c r="C56" s="45" t="s">
        <v>212</v>
      </c>
      <c r="D56" s="468">
        <v>110191</v>
      </c>
      <c r="E56" s="412">
        <v>19053100</v>
      </c>
      <c r="F56" s="47">
        <v>40</v>
      </c>
      <c r="G56" s="48">
        <f>(F56/H56)/(1+M56/100)</f>
        <v>28.972910328842534</v>
      </c>
      <c r="H56" s="49">
        <v>1.17</v>
      </c>
      <c r="I56" s="46"/>
      <c r="J56" s="69">
        <f t="shared" ref="J56:J80" si="14">(F56/1.15)/1.18</f>
        <v>29.476787030213714</v>
      </c>
      <c r="K56" s="69"/>
      <c r="L56" s="46"/>
      <c r="M56" s="49">
        <v>18</v>
      </c>
      <c r="N56" s="47">
        <v>24</v>
      </c>
      <c r="O56" s="58">
        <f t="shared" ref="O56:O80" si="15">IFERROR(ROUNDDOWN(P56/N56,"0.5"),0)</f>
        <v>-219</v>
      </c>
      <c r="P56" s="425">
        <v>-5256</v>
      </c>
      <c r="Q56" s="420">
        <v>8906009078762</v>
      </c>
      <c r="R56" s="420"/>
      <c r="S56" s="420"/>
      <c r="T56" s="420"/>
      <c r="U56" s="420"/>
      <c r="V56" s="420"/>
      <c r="W56" s="420"/>
    </row>
    <row r="57" spans="1:23" s="8" customFormat="1" x14ac:dyDescent="0.25">
      <c r="A57" s="44">
        <v>40</v>
      </c>
      <c r="B57" s="404" t="s">
        <v>17</v>
      </c>
      <c r="C57" s="45" t="s">
        <v>213</v>
      </c>
      <c r="D57" s="468">
        <v>110019</v>
      </c>
      <c r="E57" s="412">
        <v>19053100</v>
      </c>
      <c r="F57" s="47">
        <v>35</v>
      </c>
      <c r="G57" s="48">
        <f t="shared" ref="G57:G78" si="16">(F57/H57)/(1+M57/100)</f>
        <v>25.351296537737216</v>
      </c>
      <c r="H57" s="49">
        <v>1.17</v>
      </c>
      <c r="I57" s="46"/>
      <c r="J57" s="69">
        <f t="shared" si="14"/>
        <v>25.792188651436998</v>
      </c>
      <c r="K57" s="69"/>
      <c r="L57" s="46"/>
      <c r="M57" s="49">
        <v>18</v>
      </c>
      <c r="N57" s="47">
        <v>48</v>
      </c>
      <c r="O57" s="58">
        <f t="shared" si="15"/>
        <v>-85</v>
      </c>
      <c r="P57" s="425">
        <v>-4116</v>
      </c>
      <c r="Q57" s="420">
        <v>8906009078885</v>
      </c>
      <c r="R57" s="420">
        <v>8906009077390</v>
      </c>
      <c r="S57" s="420"/>
      <c r="T57" s="420"/>
      <c r="U57" s="420"/>
      <c r="V57" s="420"/>
      <c r="W57" s="420"/>
    </row>
    <row r="58" spans="1:23" s="8" customFormat="1" x14ac:dyDescent="0.25">
      <c r="A58" s="44">
        <v>41</v>
      </c>
      <c r="B58" s="404" t="s">
        <v>17</v>
      </c>
      <c r="C58" s="45" t="s">
        <v>214</v>
      </c>
      <c r="D58" s="468">
        <v>110354</v>
      </c>
      <c r="E58" s="412">
        <v>19053100</v>
      </c>
      <c r="F58" s="47">
        <v>5</v>
      </c>
      <c r="G58" s="48">
        <f t="shared" si="16"/>
        <v>3.6216137911053168</v>
      </c>
      <c r="H58" s="49">
        <v>1.17</v>
      </c>
      <c r="I58" s="46"/>
      <c r="J58" s="69">
        <f t="shared" si="14"/>
        <v>3.6845983787767143</v>
      </c>
      <c r="K58" s="69"/>
      <c r="L58" s="46"/>
      <c r="M58" s="49">
        <v>18</v>
      </c>
      <c r="N58" s="47">
        <v>192</v>
      </c>
      <c r="O58" s="58">
        <f t="shared" si="15"/>
        <v>-141</v>
      </c>
      <c r="P58" s="425">
        <v>-27204</v>
      </c>
      <c r="Q58" s="420"/>
      <c r="R58" s="420"/>
      <c r="S58" s="420"/>
      <c r="T58" s="420"/>
      <c r="U58" s="420"/>
      <c r="V58" s="420"/>
      <c r="W58" s="420"/>
    </row>
    <row r="59" spans="1:23" s="8" customFormat="1" x14ac:dyDescent="0.25">
      <c r="A59" s="44">
        <v>42</v>
      </c>
      <c r="B59" s="404" t="s">
        <v>17</v>
      </c>
      <c r="C59" s="45" t="s">
        <v>215</v>
      </c>
      <c r="D59" s="468">
        <v>110162</v>
      </c>
      <c r="E59" s="412">
        <v>19053100</v>
      </c>
      <c r="F59" s="47">
        <v>10</v>
      </c>
      <c r="G59" s="48">
        <f t="shared" si="16"/>
        <v>7.2432275822106336</v>
      </c>
      <c r="H59" s="49">
        <v>1.17</v>
      </c>
      <c r="I59" s="46"/>
      <c r="J59" s="69">
        <f t="shared" si="14"/>
        <v>7.3691967575534285</v>
      </c>
      <c r="K59" s="69"/>
      <c r="L59" s="46"/>
      <c r="M59" s="49">
        <v>18</v>
      </c>
      <c r="N59" s="47">
        <v>96</v>
      </c>
      <c r="O59" s="58">
        <f t="shared" si="15"/>
        <v>-32</v>
      </c>
      <c r="P59" s="425">
        <v>-3096</v>
      </c>
      <c r="Q59" s="420">
        <v>8906009077451</v>
      </c>
      <c r="R59" s="420"/>
      <c r="S59" s="420"/>
      <c r="T59" s="420"/>
      <c r="U59" s="420"/>
      <c r="V59" s="420"/>
      <c r="W59" s="420"/>
    </row>
    <row r="60" spans="1:23" s="8" customFormat="1" x14ac:dyDescent="0.25">
      <c r="A60" s="44">
        <v>43</v>
      </c>
      <c r="B60" s="404" t="s">
        <v>17</v>
      </c>
      <c r="C60" s="45" t="s">
        <v>216</v>
      </c>
      <c r="D60" s="468">
        <v>110162</v>
      </c>
      <c r="E60" s="412">
        <v>19053100</v>
      </c>
      <c r="F60" s="47">
        <v>10</v>
      </c>
      <c r="G60" s="48">
        <f t="shared" si="16"/>
        <v>7.2432275822106336</v>
      </c>
      <c r="H60" s="49">
        <v>1.17</v>
      </c>
      <c r="I60" s="46"/>
      <c r="J60" s="69">
        <f t="shared" si="14"/>
        <v>7.3691967575534285</v>
      </c>
      <c r="K60" s="69"/>
      <c r="L60" s="46"/>
      <c r="M60" s="49">
        <v>18</v>
      </c>
      <c r="N60" s="47">
        <v>192</v>
      </c>
      <c r="O60" s="58">
        <f t="shared" si="15"/>
        <v>-28</v>
      </c>
      <c r="P60" s="425">
        <v>-5436</v>
      </c>
      <c r="Q60" s="420"/>
      <c r="R60" s="420"/>
      <c r="S60" s="420"/>
      <c r="T60" s="420"/>
      <c r="U60" s="420"/>
      <c r="V60" s="420"/>
      <c r="W60" s="420"/>
    </row>
    <row r="61" spans="1:23" s="8" customFormat="1" x14ac:dyDescent="0.25">
      <c r="A61" s="44">
        <v>44</v>
      </c>
      <c r="B61" s="404" t="s">
        <v>17</v>
      </c>
      <c r="C61" s="45" t="s">
        <v>217</v>
      </c>
      <c r="D61" s="468">
        <v>110162</v>
      </c>
      <c r="E61" s="412">
        <v>19053100</v>
      </c>
      <c r="F61" s="47">
        <v>10</v>
      </c>
      <c r="G61" s="48">
        <f t="shared" si="16"/>
        <v>7.2432275822106336</v>
      </c>
      <c r="H61" s="49">
        <v>1.17</v>
      </c>
      <c r="I61" s="46"/>
      <c r="J61" s="69">
        <f t="shared" si="14"/>
        <v>7.3691967575534285</v>
      </c>
      <c r="K61" s="69"/>
      <c r="L61" s="46"/>
      <c r="M61" s="49">
        <v>18</v>
      </c>
      <c r="N61" s="47">
        <v>192</v>
      </c>
      <c r="O61" s="58">
        <f t="shared" si="15"/>
        <v>-7</v>
      </c>
      <c r="P61" s="425">
        <v>-1344</v>
      </c>
      <c r="Q61" s="420"/>
      <c r="R61" s="420"/>
      <c r="S61" s="420"/>
      <c r="T61" s="420"/>
      <c r="U61" s="420"/>
      <c r="V61" s="420"/>
      <c r="W61" s="420"/>
    </row>
    <row r="62" spans="1:23" s="8" customFormat="1" x14ac:dyDescent="0.25">
      <c r="A62" s="44">
        <v>44</v>
      </c>
      <c r="B62" s="404" t="s">
        <v>17</v>
      </c>
      <c r="C62" s="45" t="s">
        <v>314</v>
      </c>
      <c r="D62" s="468"/>
      <c r="E62" s="412">
        <v>19053100</v>
      </c>
      <c r="F62" s="47">
        <v>15</v>
      </c>
      <c r="G62" s="48">
        <f t="shared" ref="G62" si="17">(F62/H62)/(1+M62/100)</f>
        <v>10.864841373315951</v>
      </c>
      <c r="H62" s="49">
        <v>1.17</v>
      </c>
      <c r="I62" s="46"/>
      <c r="J62" s="69">
        <f t="shared" ref="J62" si="18">(F62/1.15)/1.18</f>
        <v>11.053795136330141</v>
      </c>
      <c r="K62" s="69"/>
      <c r="L62" s="46"/>
      <c r="M62" s="49">
        <v>18</v>
      </c>
      <c r="N62" s="47">
        <v>192</v>
      </c>
      <c r="O62" s="58">
        <f t="shared" ref="O62" si="19">IFERROR(ROUNDDOWN(P62/N62,"0.5"),0)</f>
        <v>-8</v>
      </c>
      <c r="P62" s="425">
        <v>-1572</v>
      </c>
      <c r="Q62" s="420"/>
      <c r="R62" s="420"/>
      <c r="S62" s="420"/>
      <c r="T62" s="420"/>
      <c r="U62" s="420"/>
      <c r="V62" s="420"/>
      <c r="W62" s="420"/>
    </row>
    <row r="63" spans="1:23" s="8" customFormat="1" x14ac:dyDescent="0.25">
      <c r="A63" s="44">
        <v>45</v>
      </c>
      <c r="B63" s="404" t="s">
        <v>17</v>
      </c>
      <c r="C63" s="45" t="s">
        <v>291</v>
      </c>
      <c r="D63" s="468">
        <v>110191</v>
      </c>
      <c r="E63" s="412">
        <v>19053100</v>
      </c>
      <c r="F63" s="47">
        <v>40</v>
      </c>
      <c r="G63" s="48">
        <f>(F63/H63)/(1+M63/100)</f>
        <v>28.972910328842534</v>
      </c>
      <c r="H63" s="49">
        <v>1.17</v>
      </c>
      <c r="I63" s="46"/>
      <c r="J63" s="69">
        <f t="shared" si="14"/>
        <v>29.476787030213714</v>
      </c>
      <c r="K63" s="69"/>
      <c r="L63" s="46"/>
      <c r="M63" s="49">
        <v>18</v>
      </c>
      <c r="N63" s="47">
        <v>72</v>
      </c>
      <c r="O63" s="58">
        <f t="shared" si="15"/>
        <v>-2</v>
      </c>
      <c r="P63" s="425">
        <v>-156</v>
      </c>
      <c r="Q63" s="420"/>
      <c r="R63" s="420"/>
      <c r="S63" s="420"/>
      <c r="T63" s="420"/>
      <c r="U63" s="420"/>
      <c r="V63" s="420"/>
      <c r="W63" s="420"/>
    </row>
    <row r="64" spans="1:23" s="8" customFormat="1" x14ac:dyDescent="0.25">
      <c r="A64" s="44">
        <v>51</v>
      </c>
      <c r="B64" s="404" t="s">
        <v>17</v>
      </c>
      <c r="C64" s="45" t="s">
        <v>313</v>
      </c>
      <c r="D64" s="468">
        <v>110052</v>
      </c>
      <c r="E64" s="412">
        <v>19053100</v>
      </c>
      <c r="F64" s="47">
        <v>30</v>
      </c>
      <c r="G64" s="48">
        <f t="shared" si="16"/>
        <v>21.729682746631902</v>
      </c>
      <c r="H64" s="49">
        <v>1.17</v>
      </c>
      <c r="I64" s="46"/>
      <c r="J64" s="69">
        <f t="shared" si="14"/>
        <v>22.107590272660282</v>
      </c>
      <c r="K64" s="69"/>
      <c r="L64" s="46"/>
      <c r="M64" s="49">
        <v>18</v>
      </c>
      <c r="N64" s="47">
        <v>72</v>
      </c>
      <c r="O64" s="58">
        <f>IFERROR(ROUNDDOWN(P64/N64,"0.5"),0)</f>
        <v>-10</v>
      </c>
      <c r="P64" s="425">
        <v>-728</v>
      </c>
      <c r="Q64" s="420">
        <v>8906009079554</v>
      </c>
      <c r="R64" s="420"/>
      <c r="S64" s="420"/>
      <c r="T64" s="420"/>
      <c r="U64" s="420"/>
      <c r="V64" s="420"/>
      <c r="W64" s="420"/>
    </row>
    <row r="65" spans="1:23" s="8" customFormat="1" x14ac:dyDescent="0.25">
      <c r="A65" s="44">
        <v>46</v>
      </c>
      <c r="B65" s="404" t="s">
        <v>17</v>
      </c>
      <c r="C65" s="45" t="s">
        <v>218</v>
      </c>
      <c r="D65" s="468">
        <v>110189</v>
      </c>
      <c r="E65" s="412">
        <v>19053100</v>
      </c>
      <c r="F65" s="47">
        <v>20</v>
      </c>
      <c r="G65" s="48">
        <f t="shared" si="16"/>
        <v>14.486455164421267</v>
      </c>
      <c r="H65" s="49">
        <v>1.17</v>
      </c>
      <c r="I65" s="46"/>
      <c r="J65" s="69">
        <f t="shared" si="14"/>
        <v>14.738393515106857</v>
      </c>
      <c r="K65" s="69"/>
      <c r="L65" s="46"/>
      <c r="M65" s="49">
        <v>18</v>
      </c>
      <c r="N65" s="47">
        <v>72</v>
      </c>
      <c r="O65" s="58">
        <f t="shared" si="15"/>
        <v>-29</v>
      </c>
      <c r="P65" s="425">
        <v>-2133</v>
      </c>
      <c r="Q65" s="420"/>
      <c r="R65" s="420"/>
      <c r="S65" s="420"/>
      <c r="T65" s="420"/>
      <c r="U65" s="420"/>
      <c r="V65" s="420"/>
      <c r="W65" s="420"/>
    </row>
    <row r="66" spans="1:23" s="8" customFormat="1" x14ac:dyDescent="0.25">
      <c r="A66" s="44">
        <v>47</v>
      </c>
      <c r="B66" s="404" t="s">
        <v>17</v>
      </c>
      <c r="C66" s="45" t="s">
        <v>219</v>
      </c>
      <c r="D66" s="468">
        <v>110190</v>
      </c>
      <c r="E66" s="412">
        <v>19053100</v>
      </c>
      <c r="F66" s="47">
        <v>25</v>
      </c>
      <c r="G66" s="48">
        <f t="shared" si="16"/>
        <v>18.108068955526587</v>
      </c>
      <c r="H66" s="49">
        <v>1.17</v>
      </c>
      <c r="I66" s="46"/>
      <c r="J66" s="69">
        <f t="shared" si="14"/>
        <v>18.42299189388357</v>
      </c>
      <c r="K66" s="69"/>
      <c r="L66" s="46"/>
      <c r="M66" s="49">
        <v>18</v>
      </c>
      <c r="N66" s="47">
        <v>72</v>
      </c>
      <c r="O66" s="58">
        <f t="shared" si="15"/>
        <v>-61</v>
      </c>
      <c r="P66" s="425">
        <v>-4452</v>
      </c>
      <c r="Q66" s="420"/>
      <c r="R66" s="420"/>
      <c r="S66" s="420"/>
      <c r="T66" s="420"/>
      <c r="U66" s="420"/>
      <c r="V66" s="420"/>
      <c r="W66" s="420"/>
    </row>
    <row r="67" spans="1:23" s="8" customFormat="1" x14ac:dyDescent="0.25">
      <c r="A67" s="44">
        <v>48</v>
      </c>
      <c r="B67" s="404" t="s">
        <v>17</v>
      </c>
      <c r="C67" s="45" t="s">
        <v>220</v>
      </c>
      <c r="D67" s="468">
        <v>110019</v>
      </c>
      <c r="E67" s="412">
        <v>19053100</v>
      </c>
      <c r="F67" s="47">
        <v>35</v>
      </c>
      <c r="G67" s="48">
        <f t="shared" si="16"/>
        <v>25.351296537737216</v>
      </c>
      <c r="H67" s="49">
        <v>1.17</v>
      </c>
      <c r="I67" s="46"/>
      <c r="J67" s="69">
        <f t="shared" si="14"/>
        <v>25.792188651436998</v>
      </c>
      <c r="K67" s="69"/>
      <c r="L67" s="46"/>
      <c r="M67" s="49">
        <v>18</v>
      </c>
      <c r="N67" s="47">
        <v>48</v>
      </c>
      <c r="O67" s="58">
        <f t="shared" si="15"/>
        <v>-8</v>
      </c>
      <c r="P67" s="425">
        <v>-410</v>
      </c>
      <c r="Q67" s="420"/>
      <c r="R67" s="420"/>
      <c r="S67" s="420"/>
      <c r="T67" s="420"/>
      <c r="U67" s="420"/>
      <c r="V67" s="420"/>
      <c r="W67" s="420"/>
    </row>
    <row r="68" spans="1:23" s="8" customFormat="1" x14ac:dyDescent="0.25">
      <c r="A68" s="44">
        <v>49</v>
      </c>
      <c r="B68" s="404" t="s">
        <v>17</v>
      </c>
      <c r="C68" s="45" t="s">
        <v>221</v>
      </c>
      <c r="D68" s="468">
        <v>110217</v>
      </c>
      <c r="E68" s="412">
        <v>19053100</v>
      </c>
      <c r="F68" s="47">
        <v>50</v>
      </c>
      <c r="G68" s="48">
        <f t="shared" si="16"/>
        <v>36.216137911053174</v>
      </c>
      <c r="H68" s="49">
        <v>1.17</v>
      </c>
      <c r="I68" s="46"/>
      <c r="J68" s="69">
        <f t="shared" si="14"/>
        <v>36.845983787767139</v>
      </c>
      <c r="K68" s="69"/>
      <c r="L68" s="46"/>
      <c r="M68" s="49">
        <v>18</v>
      </c>
      <c r="N68" s="47">
        <v>48</v>
      </c>
      <c r="O68" s="58">
        <f t="shared" si="15"/>
        <v>-30</v>
      </c>
      <c r="P68" s="425">
        <v>-1482</v>
      </c>
      <c r="Q68" s="420"/>
      <c r="R68" s="420"/>
      <c r="S68" s="420"/>
      <c r="T68" s="420"/>
      <c r="U68" s="420"/>
      <c r="V68" s="420"/>
      <c r="W68" s="420"/>
    </row>
    <row r="69" spans="1:23" s="8" customFormat="1" x14ac:dyDescent="0.25">
      <c r="A69" s="44">
        <v>50</v>
      </c>
      <c r="B69" s="404" t="s">
        <v>17</v>
      </c>
      <c r="C69" s="45" t="s">
        <v>222</v>
      </c>
      <c r="D69" s="468">
        <v>110210</v>
      </c>
      <c r="E69" s="412">
        <v>19053100</v>
      </c>
      <c r="F69" s="47">
        <v>45</v>
      </c>
      <c r="G69" s="48">
        <f t="shared" si="16"/>
        <v>32.594524119947856</v>
      </c>
      <c r="H69" s="49">
        <v>1.17</v>
      </c>
      <c r="I69" s="46"/>
      <c r="J69" s="69">
        <f t="shared" si="14"/>
        <v>33.161385408990419</v>
      </c>
      <c r="K69" s="69"/>
      <c r="L69" s="46"/>
      <c r="M69" s="49">
        <v>18</v>
      </c>
      <c r="N69" s="47">
        <v>48</v>
      </c>
      <c r="O69" s="58">
        <f t="shared" si="15"/>
        <v>-19</v>
      </c>
      <c r="P69" s="425">
        <v>-932</v>
      </c>
      <c r="Q69" s="420"/>
      <c r="R69" s="420"/>
      <c r="S69" s="420"/>
      <c r="T69" s="420"/>
      <c r="U69" s="420"/>
      <c r="V69" s="420"/>
      <c r="W69" s="420"/>
    </row>
    <row r="70" spans="1:23" s="8" customFormat="1" x14ac:dyDescent="0.25">
      <c r="A70" s="44">
        <v>51</v>
      </c>
      <c r="B70" s="404" t="s">
        <v>17</v>
      </c>
      <c r="C70" s="45" t="s">
        <v>223</v>
      </c>
      <c r="D70" s="468">
        <v>110191</v>
      </c>
      <c r="E70" s="412">
        <v>19053100</v>
      </c>
      <c r="F70" s="47">
        <v>40</v>
      </c>
      <c r="G70" s="48">
        <f t="shared" si="16"/>
        <v>28.972910328842534</v>
      </c>
      <c r="H70" s="49">
        <v>1.17</v>
      </c>
      <c r="I70" s="46"/>
      <c r="J70" s="69">
        <f t="shared" si="14"/>
        <v>29.476787030213714</v>
      </c>
      <c r="K70" s="69"/>
      <c r="L70" s="46"/>
      <c r="M70" s="49">
        <v>18</v>
      </c>
      <c r="N70" s="47">
        <v>48</v>
      </c>
      <c r="O70" s="58">
        <f t="shared" si="15"/>
        <v>-8</v>
      </c>
      <c r="P70" s="425">
        <v>-384</v>
      </c>
      <c r="Q70" s="420"/>
      <c r="R70" s="420"/>
      <c r="S70" s="420"/>
      <c r="T70" s="420"/>
      <c r="U70" s="420"/>
      <c r="V70" s="420"/>
      <c r="W70" s="420"/>
    </row>
    <row r="71" spans="1:23" s="8" customFormat="1" x14ac:dyDescent="0.25">
      <c r="A71" s="44">
        <v>52</v>
      </c>
      <c r="B71" s="404" t="s">
        <v>17</v>
      </c>
      <c r="C71" s="45" t="s">
        <v>224</v>
      </c>
      <c r="D71" s="468">
        <v>110019</v>
      </c>
      <c r="E71" s="412">
        <v>19053100</v>
      </c>
      <c r="F71" s="47">
        <v>35</v>
      </c>
      <c r="G71" s="48">
        <f t="shared" si="16"/>
        <v>25.351296537737216</v>
      </c>
      <c r="H71" s="49">
        <v>1.17</v>
      </c>
      <c r="I71" s="46"/>
      <c r="J71" s="69">
        <f t="shared" si="14"/>
        <v>25.792188651436998</v>
      </c>
      <c r="K71" s="69"/>
      <c r="L71" s="46"/>
      <c r="M71" s="49">
        <v>18</v>
      </c>
      <c r="N71" s="47">
        <v>48</v>
      </c>
      <c r="O71" s="58">
        <f t="shared" si="15"/>
        <v>-6</v>
      </c>
      <c r="P71" s="425">
        <v>-288</v>
      </c>
      <c r="Q71" s="420"/>
      <c r="R71" s="420"/>
      <c r="S71" s="420"/>
      <c r="T71" s="420"/>
      <c r="U71" s="420"/>
      <c r="V71" s="420"/>
      <c r="W71" s="420"/>
    </row>
    <row r="72" spans="1:23" s="8" customFormat="1" x14ac:dyDescent="0.25">
      <c r="A72" s="44">
        <v>53</v>
      </c>
      <c r="B72" s="404" t="s">
        <v>17</v>
      </c>
      <c r="C72" s="45" t="s">
        <v>225</v>
      </c>
      <c r="D72" s="468">
        <v>110191</v>
      </c>
      <c r="E72" s="412">
        <v>19053100</v>
      </c>
      <c r="F72" s="47">
        <v>40</v>
      </c>
      <c r="G72" s="48">
        <f t="shared" si="16"/>
        <v>28.972910328842534</v>
      </c>
      <c r="H72" s="49">
        <v>1.17</v>
      </c>
      <c r="I72" s="46"/>
      <c r="J72" s="69">
        <f t="shared" si="14"/>
        <v>29.476787030213714</v>
      </c>
      <c r="K72" s="69"/>
      <c r="L72" s="46"/>
      <c r="M72" s="49">
        <v>18</v>
      </c>
      <c r="N72" s="47">
        <v>48</v>
      </c>
      <c r="O72" s="58">
        <f t="shared" si="15"/>
        <v>-5</v>
      </c>
      <c r="P72" s="425">
        <v>-281</v>
      </c>
      <c r="Q72" s="420"/>
      <c r="R72" s="420"/>
      <c r="S72" s="420"/>
      <c r="T72" s="420"/>
      <c r="U72" s="420"/>
      <c r="V72" s="420"/>
      <c r="W72" s="420"/>
    </row>
    <row r="73" spans="1:23" s="8" customFormat="1" x14ac:dyDescent="0.25">
      <c r="A73" s="44">
        <v>54</v>
      </c>
      <c r="B73" s="404" t="s">
        <v>17</v>
      </c>
      <c r="C73" s="45" t="s">
        <v>226</v>
      </c>
      <c r="D73" s="468">
        <v>110210</v>
      </c>
      <c r="E73" s="412">
        <v>19053100</v>
      </c>
      <c r="F73" s="47">
        <v>45</v>
      </c>
      <c r="G73" s="48">
        <f t="shared" si="16"/>
        <v>32.594524119947856</v>
      </c>
      <c r="H73" s="49">
        <v>1.17</v>
      </c>
      <c r="I73" s="46"/>
      <c r="J73" s="69">
        <f t="shared" si="14"/>
        <v>33.161385408990419</v>
      </c>
      <c r="K73" s="69"/>
      <c r="L73" s="46"/>
      <c r="M73" s="49">
        <v>18</v>
      </c>
      <c r="N73" s="47">
        <v>48</v>
      </c>
      <c r="O73" s="58">
        <f t="shared" si="15"/>
        <v>0</v>
      </c>
      <c r="P73" s="425">
        <v>-47</v>
      </c>
      <c r="Q73" s="420"/>
      <c r="R73" s="420"/>
      <c r="S73" s="420"/>
      <c r="T73" s="420"/>
      <c r="U73" s="420"/>
      <c r="V73" s="420"/>
      <c r="W73" s="420"/>
    </row>
    <row r="74" spans="1:23" s="8" customFormat="1" x14ac:dyDescent="0.25">
      <c r="A74" s="44">
        <v>54</v>
      </c>
      <c r="B74" s="404" t="s">
        <v>17</v>
      </c>
      <c r="C74" s="45" t="s">
        <v>332</v>
      </c>
      <c r="D74" s="468">
        <v>110052</v>
      </c>
      <c r="E74" s="412">
        <v>19053100</v>
      </c>
      <c r="F74" s="47">
        <v>30</v>
      </c>
      <c r="G74" s="48">
        <f t="shared" ref="G74" si="20">(F74/H74)/(1+M74/100)</f>
        <v>21.729682746631902</v>
      </c>
      <c r="H74" s="49">
        <v>1.17</v>
      </c>
      <c r="I74" s="46"/>
      <c r="J74" s="69">
        <f t="shared" ref="J74" si="21">(F74/1.15)/1.18</f>
        <v>22.107590272660282</v>
      </c>
      <c r="K74" s="69"/>
      <c r="L74" s="46"/>
      <c r="M74" s="49">
        <v>18</v>
      </c>
      <c r="N74" s="47">
        <v>48</v>
      </c>
      <c r="O74" s="58">
        <f t="shared" ref="O74" si="22">IFERROR(ROUNDDOWN(P74/N74,"0.5"),0)</f>
        <v>-1</v>
      </c>
      <c r="P74" s="425">
        <v>-58</v>
      </c>
      <c r="Q74" s="420"/>
      <c r="R74" s="420"/>
      <c r="S74" s="420"/>
      <c r="T74" s="420"/>
      <c r="U74" s="420"/>
      <c r="V74" s="420"/>
      <c r="W74" s="420"/>
    </row>
    <row r="75" spans="1:23" s="8" customFormat="1" x14ac:dyDescent="0.25">
      <c r="A75" s="44">
        <v>55</v>
      </c>
      <c r="B75" s="404" t="s">
        <v>17</v>
      </c>
      <c r="C75" s="45" t="s">
        <v>227</v>
      </c>
      <c r="D75" s="468">
        <v>110217</v>
      </c>
      <c r="E75" s="412">
        <v>19053100</v>
      </c>
      <c r="F75" s="47">
        <v>50</v>
      </c>
      <c r="G75" s="48">
        <f t="shared" si="16"/>
        <v>36.216137911053174</v>
      </c>
      <c r="H75" s="49">
        <v>1.17</v>
      </c>
      <c r="I75" s="46"/>
      <c r="J75" s="69">
        <f t="shared" si="14"/>
        <v>36.845983787767139</v>
      </c>
      <c r="K75" s="69"/>
      <c r="L75" s="46"/>
      <c r="M75" s="49">
        <v>18</v>
      </c>
      <c r="N75" s="47">
        <v>48</v>
      </c>
      <c r="O75" s="58">
        <f t="shared" si="15"/>
        <v>-8</v>
      </c>
      <c r="P75" s="425">
        <v>-407</v>
      </c>
      <c r="Q75" s="420"/>
      <c r="R75" s="420"/>
      <c r="S75" s="420"/>
      <c r="T75" s="420"/>
      <c r="U75" s="420"/>
      <c r="V75" s="420"/>
      <c r="W75" s="420"/>
    </row>
    <row r="76" spans="1:23" s="8" customFormat="1" x14ac:dyDescent="0.25">
      <c r="A76" s="44">
        <v>56</v>
      </c>
      <c r="B76" s="404" t="s">
        <v>17</v>
      </c>
      <c r="C76" s="45" t="s">
        <v>292</v>
      </c>
      <c r="D76" s="468">
        <v>110210</v>
      </c>
      <c r="E76" s="412">
        <v>19053100</v>
      </c>
      <c r="F76" s="47">
        <v>45</v>
      </c>
      <c r="G76" s="48">
        <f t="shared" si="16"/>
        <v>32.594524119947856</v>
      </c>
      <c r="H76" s="49">
        <v>1.17</v>
      </c>
      <c r="I76" s="46"/>
      <c r="J76" s="69">
        <f t="shared" si="14"/>
        <v>33.161385408990419</v>
      </c>
      <c r="K76" s="69"/>
      <c r="L76" s="46"/>
      <c r="M76" s="49">
        <v>18</v>
      </c>
      <c r="N76" s="47">
        <v>48</v>
      </c>
      <c r="O76" s="58">
        <f t="shared" si="15"/>
        <v>-7</v>
      </c>
      <c r="P76" s="425">
        <v>-337</v>
      </c>
      <c r="Q76" s="420">
        <v>8906009071619</v>
      </c>
      <c r="R76" s="420">
        <v>8906009072609</v>
      </c>
      <c r="S76" s="420"/>
      <c r="T76" s="420"/>
      <c r="U76" s="420"/>
      <c r="V76" s="420"/>
      <c r="W76" s="420"/>
    </row>
    <row r="77" spans="1:23" s="8" customFormat="1" x14ac:dyDescent="0.25">
      <c r="A77" s="44">
        <v>57</v>
      </c>
      <c r="B77" s="404" t="s">
        <v>17</v>
      </c>
      <c r="C77" s="45" t="s">
        <v>228</v>
      </c>
      <c r="D77" s="468">
        <v>110191</v>
      </c>
      <c r="E77" s="412">
        <v>19053100</v>
      </c>
      <c r="F77" s="47">
        <v>40</v>
      </c>
      <c r="G77" s="48">
        <f t="shared" si="16"/>
        <v>28.972910328842534</v>
      </c>
      <c r="H77" s="49">
        <v>1.17</v>
      </c>
      <c r="I77" s="46"/>
      <c r="J77" s="69">
        <f t="shared" si="14"/>
        <v>29.476787030213714</v>
      </c>
      <c r="K77" s="69"/>
      <c r="L77" s="46"/>
      <c r="M77" s="49">
        <v>18</v>
      </c>
      <c r="N77" s="47">
        <v>48</v>
      </c>
      <c r="O77" s="58">
        <f t="shared" si="15"/>
        <v>-6</v>
      </c>
      <c r="P77" s="425">
        <v>-306</v>
      </c>
      <c r="Q77" s="420"/>
      <c r="R77" s="420"/>
      <c r="S77" s="420"/>
      <c r="T77" s="420"/>
      <c r="U77" s="420"/>
      <c r="V77" s="420"/>
      <c r="W77" s="420"/>
    </row>
    <row r="78" spans="1:23" s="8" customFormat="1" x14ac:dyDescent="0.25">
      <c r="A78" s="44">
        <v>58</v>
      </c>
      <c r="B78" s="404" t="s">
        <v>17</v>
      </c>
      <c r="C78" s="45" t="s">
        <v>229</v>
      </c>
      <c r="D78" s="468"/>
      <c r="E78" s="412">
        <v>19053100</v>
      </c>
      <c r="F78" s="47">
        <v>50</v>
      </c>
      <c r="G78" s="48">
        <f t="shared" si="16"/>
        <v>36.216137911053174</v>
      </c>
      <c r="H78" s="49">
        <v>1.17</v>
      </c>
      <c r="I78" s="46"/>
      <c r="J78" s="69">
        <f t="shared" si="14"/>
        <v>36.845983787767139</v>
      </c>
      <c r="K78" s="69"/>
      <c r="L78" s="46"/>
      <c r="M78" s="49">
        <v>18</v>
      </c>
      <c r="N78" s="47"/>
      <c r="O78" s="58">
        <f t="shared" si="15"/>
        <v>0</v>
      </c>
      <c r="P78" s="425">
        <v>0</v>
      </c>
      <c r="Q78" s="420"/>
      <c r="R78" s="420"/>
      <c r="S78" s="420"/>
      <c r="T78" s="420"/>
      <c r="U78" s="420"/>
      <c r="V78" s="420"/>
      <c r="W78" s="420"/>
    </row>
    <row r="79" spans="1:23" s="8" customFormat="1" x14ac:dyDescent="0.25">
      <c r="A79" s="44">
        <v>59</v>
      </c>
      <c r="B79" s="404" t="s">
        <v>17</v>
      </c>
      <c r="C79" s="45" t="s">
        <v>230</v>
      </c>
      <c r="D79" s="468">
        <v>110241</v>
      </c>
      <c r="E79" s="412">
        <v>19053100</v>
      </c>
      <c r="F79" s="47">
        <v>60</v>
      </c>
      <c r="G79" s="48">
        <f t="shared" ref="G79" si="23">(F79/H79)/(1+M79/100)</f>
        <v>43.459365493263803</v>
      </c>
      <c r="H79" s="49">
        <v>1.17</v>
      </c>
      <c r="I79" s="46"/>
      <c r="J79" s="69">
        <f t="shared" ref="J79" si="24">(F79/1.15)/1.18</f>
        <v>44.215180545320564</v>
      </c>
      <c r="K79" s="69"/>
      <c r="L79" s="46"/>
      <c r="M79" s="49">
        <v>18</v>
      </c>
      <c r="N79" s="47">
        <v>24</v>
      </c>
      <c r="O79" s="58">
        <f t="shared" ref="O79" si="25">IFERROR(ROUNDDOWN(P79/N79,"0.5"),0)</f>
        <v>-8</v>
      </c>
      <c r="P79" s="425">
        <v>-202</v>
      </c>
      <c r="Q79" s="420"/>
      <c r="R79" s="420"/>
      <c r="S79" s="420"/>
      <c r="T79" s="420"/>
      <c r="U79" s="420"/>
      <c r="V79" s="420"/>
      <c r="W79" s="420"/>
    </row>
    <row r="80" spans="1:23" s="8" customFormat="1" x14ac:dyDescent="0.25">
      <c r="A80" s="44">
        <v>59</v>
      </c>
      <c r="B80" s="404" t="s">
        <v>17</v>
      </c>
      <c r="C80" s="45" t="s">
        <v>295</v>
      </c>
      <c r="D80" s="468"/>
      <c r="E80" s="412">
        <v>19053100</v>
      </c>
      <c r="F80" s="47">
        <v>4</v>
      </c>
      <c r="G80" s="48">
        <f>(F80/H80)/(1+M80/100)</f>
        <v>2.8972910328842536</v>
      </c>
      <c r="H80" s="49">
        <v>1.17</v>
      </c>
      <c r="I80" s="46"/>
      <c r="J80" s="69">
        <f t="shared" si="14"/>
        <v>2.9476787030213711</v>
      </c>
      <c r="K80" s="69"/>
      <c r="L80" s="46"/>
      <c r="M80" s="49">
        <v>18</v>
      </c>
      <c r="N80" s="47">
        <v>75</v>
      </c>
      <c r="O80" s="58">
        <f t="shared" si="15"/>
        <v>0</v>
      </c>
      <c r="P80" s="425">
        <v>-9</v>
      </c>
      <c r="Q80" s="420"/>
      <c r="R80" s="420"/>
      <c r="S80" s="420"/>
      <c r="T80" s="420"/>
      <c r="U80" s="420"/>
      <c r="V80" s="420"/>
      <c r="W80" s="420"/>
    </row>
    <row r="81" spans="1:23" s="8" customFormat="1" x14ac:dyDescent="0.25">
      <c r="A81" s="44"/>
      <c r="B81" s="404"/>
      <c r="C81" s="45"/>
      <c r="D81" s="468"/>
      <c r="E81" s="412">
        <v>0</v>
      </c>
      <c r="F81" s="47">
        <v>0</v>
      </c>
      <c r="G81" s="48"/>
      <c r="H81" s="49"/>
      <c r="I81" s="46">
        <v>0</v>
      </c>
      <c r="J81" s="69"/>
      <c r="K81" s="69"/>
      <c r="L81" s="46"/>
      <c r="M81" s="49">
        <v>0</v>
      </c>
      <c r="N81" s="47">
        <v>0</v>
      </c>
      <c r="O81" s="58"/>
      <c r="P81" s="425">
        <v>0</v>
      </c>
      <c r="Q81" s="420"/>
      <c r="R81" s="420"/>
      <c r="S81" s="420"/>
      <c r="T81" s="420"/>
      <c r="U81" s="420"/>
      <c r="V81" s="420"/>
      <c r="W81" s="420"/>
    </row>
    <row r="82" spans="1:23" s="8" customFormat="1" x14ac:dyDescent="0.25">
      <c r="A82" s="44"/>
      <c r="B82" s="404"/>
      <c r="C82" s="45"/>
      <c r="D82" s="468"/>
      <c r="E82" s="412">
        <v>0</v>
      </c>
      <c r="F82" s="47">
        <v>0</v>
      </c>
      <c r="G82" s="48"/>
      <c r="H82" s="49"/>
      <c r="I82" s="46">
        <v>0</v>
      </c>
      <c r="J82" s="69"/>
      <c r="K82" s="69"/>
      <c r="L82" s="46"/>
      <c r="M82" s="49">
        <v>0</v>
      </c>
      <c r="N82" s="47">
        <v>0</v>
      </c>
      <c r="O82" s="58"/>
      <c r="P82" s="425">
        <v>0</v>
      </c>
      <c r="Q82" s="419"/>
      <c r="R82" s="419"/>
      <c r="S82" s="419"/>
      <c r="T82" s="419"/>
      <c r="U82" s="419"/>
      <c r="V82" s="419"/>
      <c r="W82" s="419"/>
    </row>
    <row r="83" spans="1:23" x14ac:dyDescent="0.25">
      <c r="A83" s="34">
        <v>56</v>
      </c>
      <c r="B83" s="403" t="s">
        <v>190</v>
      </c>
      <c r="C83" s="36" t="s">
        <v>231</v>
      </c>
      <c r="D83" s="469">
        <v>181282</v>
      </c>
      <c r="E83" s="413">
        <v>19041010</v>
      </c>
      <c r="F83" s="36">
        <v>48</v>
      </c>
      <c r="G83" s="37">
        <f t="shared" ref="G83:G88" si="26">(F83/H83)/(1+M83/100)</f>
        <v>35.067212156633552</v>
      </c>
      <c r="H83" s="50">
        <v>1.1599999999999999</v>
      </c>
      <c r="I83" s="35">
        <v>0</v>
      </c>
      <c r="J83" s="37">
        <f t="shared" ref="J83:J90" si="27">(F83/1.16)/1.18</f>
        <v>35.067212156633552</v>
      </c>
      <c r="K83" s="37"/>
      <c r="L83" s="35"/>
      <c r="M83" s="50">
        <v>18</v>
      </c>
      <c r="N83" s="36">
        <v>60</v>
      </c>
      <c r="O83" s="60">
        <f t="shared" ref="O83:O88" si="28">IFERROR(ROUNDDOWN(P83/N83,"0.5"),0)</f>
        <v>-2</v>
      </c>
      <c r="P83" s="426">
        <v>-149</v>
      </c>
      <c r="Q83" s="419">
        <v>8902710205183</v>
      </c>
    </row>
    <row r="84" spans="1:23" x14ac:dyDescent="0.25">
      <c r="A84" s="34">
        <v>57</v>
      </c>
      <c r="B84" s="403" t="s">
        <v>190</v>
      </c>
      <c r="C84" s="36" t="s">
        <v>232</v>
      </c>
      <c r="D84" s="469">
        <v>181283</v>
      </c>
      <c r="E84" s="413">
        <v>19041010</v>
      </c>
      <c r="F84" s="36">
        <v>100</v>
      </c>
      <c r="G84" s="37">
        <f t="shared" si="26"/>
        <v>73.056691992986572</v>
      </c>
      <c r="H84" s="50">
        <v>1.1599999999999999</v>
      </c>
      <c r="I84" s="35">
        <v>0</v>
      </c>
      <c r="J84" s="37">
        <f t="shared" si="27"/>
        <v>73.056691992986572</v>
      </c>
      <c r="K84" s="37"/>
      <c r="L84" s="35"/>
      <c r="M84" s="50">
        <v>18</v>
      </c>
      <c r="N84" s="36">
        <v>24</v>
      </c>
      <c r="O84" s="60">
        <f t="shared" si="28"/>
        <v>-8</v>
      </c>
      <c r="P84" s="426">
        <v>-198</v>
      </c>
      <c r="Q84" s="419">
        <v>8902710604047</v>
      </c>
    </row>
    <row r="85" spans="1:23" x14ac:dyDescent="0.25">
      <c r="A85" s="34">
        <v>58</v>
      </c>
      <c r="B85" s="403" t="s">
        <v>190</v>
      </c>
      <c r="C85" s="36" t="s">
        <v>233</v>
      </c>
      <c r="D85" s="469">
        <v>181280</v>
      </c>
      <c r="E85" s="413">
        <v>19049000</v>
      </c>
      <c r="F85" s="36">
        <v>148</v>
      </c>
      <c r="G85" s="37">
        <f t="shared" si="26"/>
        <v>108.12390414962012</v>
      </c>
      <c r="H85" s="50">
        <v>1.1599999999999999</v>
      </c>
      <c r="I85" s="35">
        <v>0</v>
      </c>
      <c r="J85" s="37">
        <f t="shared" si="27"/>
        <v>108.12390414962012</v>
      </c>
      <c r="K85" s="37"/>
      <c r="L85" s="35"/>
      <c r="M85" s="50">
        <v>18</v>
      </c>
      <c r="N85" s="36">
        <v>20</v>
      </c>
      <c r="O85" s="60">
        <f t="shared" si="28"/>
        <v>-1</v>
      </c>
      <c r="P85" s="426">
        <v>-24</v>
      </c>
    </row>
    <row r="86" spans="1:23" x14ac:dyDescent="0.25">
      <c r="A86" s="34">
        <v>59</v>
      </c>
      <c r="B86" s="403" t="s">
        <v>190</v>
      </c>
      <c r="C86" s="36" t="s">
        <v>234</v>
      </c>
      <c r="D86" s="469">
        <v>0</v>
      </c>
      <c r="E86" s="413">
        <v>19049000</v>
      </c>
      <c r="F86" s="36">
        <v>10</v>
      </c>
      <c r="G86" s="37">
        <f t="shared" si="26"/>
        <v>7.3056691992986567</v>
      </c>
      <c r="H86" s="50">
        <v>1.1599999999999999</v>
      </c>
      <c r="I86" s="35">
        <v>0</v>
      </c>
      <c r="J86" s="37">
        <f t="shared" si="27"/>
        <v>7.3056691992986567</v>
      </c>
      <c r="K86" s="37"/>
      <c r="L86" s="35"/>
      <c r="M86" s="50">
        <v>18</v>
      </c>
      <c r="N86" s="36">
        <v>180</v>
      </c>
      <c r="O86" s="60">
        <f t="shared" si="28"/>
        <v>0</v>
      </c>
      <c r="P86" s="426">
        <v>0</v>
      </c>
    </row>
    <row r="87" spans="1:23" x14ac:dyDescent="0.25">
      <c r="A87" s="34">
        <v>60</v>
      </c>
      <c r="B87" s="403" t="s">
        <v>190</v>
      </c>
      <c r="C87" s="36" t="s">
        <v>59</v>
      </c>
      <c r="D87" s="469"/>
      <c r="E87" s="413">
        <v>19041900</v>
      </c>
      <c r="F87" s="36">
        <v>25</v>
      </c>
      <c r="G87" s="37">
        <f t="shared" si="26"/>
        <v>18.264172998246643</v>
      </c>
      <c r="H87" s="50">
        <v>1.1599999999999999</v>
      </c>
      <c r="I87" s="35"/>
      <c r="J87" s="37">
        <f t="shared" si="27"/>
        <v>18.264172998246643</v>
      </c>
      <c r="K87" s="37"/>
      <c r="L87" s="35"/>
      <c r="M87" s="50">
        <v>18</v>
      </c>
      <c r="N87" s="36"/>
      <c r="O87" s="60">
        <f t="shared" si="28"/>
        <v>0</v>
      </c>
      <c r="P87" s="426">
        <v>0</v>
      </c>
    </row>
    <row r="88" spans="1:23" x14ac:dyDescent="0.25">
      <c r="A88" s="34">
        <v>61</v>
      </c>
      <c r="B88" s="403" t="s">
        <v>190</v>
      </c>
      <c r="C88" s="36" t="s">
        <v>60</v>
      </c>
      <c r="D88" s="469"/>
      <c r="E88" s="413">
        <v>19041900</v>
      </c>
      <c r="F88" s="36">
        <v>20</v>
      </c>
      <c r="G88" s="37">
        <f t="shared" si="26"/>
        <v>14.611338398597313</v>
      </c>
      <c r="H88" s="50">
        <v>1.1599999999999999</v>
      </c>
      <c r="I88" s="35"/>
      <c r="J88" s="37">
        <f t="shared" si="27"/>
        <v>14.611338398597313</v>
      </c>
      <c r="K88" s="37"/>
      <c r="L88" s="35"/>
      <c r="M88" s="50">
        <v>18</v>
      </c>
      <c r="N88" s="36"/>
      <c r="O88" s="60">
        <f t="shared" si="28"/>
        <v>0</v>
      </c>
      <c r="P88" s="426">
        <v>0</v>
      </c>
    </row>
    <row r="89" spans="1:23" x14ac:dyDescent="0.25">
      <c r="A89" s="34"/>
      <c r="B89" s="403"/>
      <c r="C89" s="36"/>
      <c r="D89" s="469"/>
      <c r="E89" s="413"/>
      <c r="F89" s="36"/>
      <c r="G89" s="37">
        <f>(F89/1.16)/1.18</f>
        <v>0</v>
      </c>
      <c r="H89" s="50"/>
      <c r="I89" s="35"/>
      <c r="J89" s="37">
        <f t="shared" si="27"/>
        <v>0</v>
      </c>
      <c r="K89" s="37"/>
      <c r="L89" s="35"/>
      <c r="M89" s="50"/>
      <c r="N89" s="36"/>
      <c r="O89" s="60"/>
      <c r="P89" s="426">
        <v>0</v>
      </c>
    </row>
    <row r="90" spans="1:23" x14ac:dyDescent="0.25">
      <c r="A90" s="34"/>
      <c r="B90" s="403"/>
      <c r="C90" s="36"/>
      <c r="D90" s="469"/>
      <c r="E90" s="413"/>
      <c r="F90" s="36"/>
      <c r="G90" s="37">
        <f>(F90/1.16)/1.18</f>
        <v>0</v>
      </c>
      <c r="H90" s="50"/>
      <c r="I90" s="35"/>
      <c r="J90" s="37">
        <f t="shared" si="27"/>
        <v>0</v>
      </c>
      <c r="K90" s="37"/>
      <c r="L90" s="35"/>
      <c r="M90" s="50"/>
      <c r="N90" s="36"/>
      <c r="O90" s="60"/>
      <c r="P90" s="426">
        <v>0</v>
      </c>
    </row>
    <row r="91" spans="1:23" x14ac:dyDescent="0.25">
      <c r="A91" s="248">
        <v>1</v>
      </c>
      <c r="B91" s="407" t="s">
        <v>191</v>
      </c>
      <c r="C91" s="248" t="s">
        <v>235</v>
      </c>
      <c r="D91" s="470"/>
      <c r="E91" s="414">
        <v>21069099</v>
      </c>
      <c r="F91" s="248">
        <v>10</v>
      </c>
      <c r="G91" s="250">
        <f>(F91-F91*H91%)/(1+M91/100)</f>
        <v>7.3214285714285703</v>
      </c>
      <c r="H91" s="252">
        <v>18</v>
      </c>
      <c r="I91" s="249"/>
      <c r="J91" s="251"/>
      <c r="K91" s="251"/>
      <c r="L91" s="249"/>
      <c r="M91" s="252">
        <v>12</v>
      </c>
      <c r="N91" s="248">
        <v>180</v>
      </c>
      <c r="O91" s="248">
        <f t="shared" ref="O91:O99" si="29">IFERROR(ROUNDDOWN(P91/N91,"0.5"),0)</f>
        <v>0</v>
      </c>
      <c r="P91" s="427">
        <v>48</v>
      </c>
      <c r="Q91" s="419">
        <v>8904156710191</v>
      </c>
    </row>
    <row r="92" spans="1:23" x14ac:dyDescent="0.25">
      <c r="A92" s="248">
        <v>2</v>
      </c>
      <c r="B92" s="407" t="s">
        <v>191</v>
      </c>
      <c r="C92" s="248" t="s">
        <v>236</v>
      </c>
      <c r="D92" s="470"/>
      <c r="E92" s="414">
        <v>21069099</v>
      </c>
      <c r="F92" s="248">
        <v>55</v>
      </c>
      <c r="G92" s="250">
        <f t="shared" ref="G92:G106" si="30">(F92-F92*H92%)/(1+M92/100)</f>
        <v>40.267857142857139</v>
      </c>
      <c r="H92" s="252">
        <v>18</v>
      </c>
      <c r="I92" s="249"/>
      <c r="J92" s="251"/>
      <c r="K92" s="251"/>
      <c r="L92" s="249"/>
      <c r="M92" s="252">
        <v>12</v>
      </c>
      <c r="N92" s="248">
        <v>40</v>
      </c>
      <c r="O92" s="248">
        <f t="shared" si="29"/>
        <v>0</v>
      </c>
      <c r="P92" s="427">
        <v>-5</v>
      </c>
      <c r="Q92" s="419">
        <v>8904156707429</v>
      </c>
    </row>
    <row r="93" spans="1:23" x14ac:dyDescent="0.25">
      <c r="A93" s="248">
        <v>3</v>
      </c>
      <c r="B93" s="407" t="s">
        <v>191</v>
      </c>
      <c r="C93" s="248" t="s">
        <v>237</v>
      </c>
      <c r="D93" s="470"/>
      <c r="E93" s="414">
        <v>21069099</v>
      </c>
      <c r="F93" s="248">
        <v>10</v>
      </c>
      <c r="G93" s="250">
        <f t="shared" si="30"/>
        <v>7.3214285714285703</v>
      </c>
      <c r="H93" s="252">
        <v>18</v>
      </c>
      <c r="I93" s="249"/>
      <c r="J93" s="251"/>
      <c r="K93" s="251"/>
      <c r="L93" s="249"/>
      <c r="M93" s="252">
        <v>12</v>
      </c>
      <c r="N93" s="248">
        <v>120</v>
      </c>
      <c r="O93" s="248">
        <f t="shared" si="29"/>
        <v>0</v>
      </c>
      <c r="P93" s="427">
        <v>0</v>
      </c>
      <c r="Q93" s="419">
        <v>8904156710160</v>
      </c>
    </row>
    <row r="94" spans="1:23" x14ac:dyDescent="0.25">
      <c r="A94" s="248">
        <v>4</v>
      </c>
      <c r="B94" s="407" t="s">
        <v>191</v>
      </c>
      <c r="C94" s="248" t="s">
        <v>238</v>
      </c>
      <c r="D94" s="470"/>
      <c r="E94" s="414">
        <v>21069099</v>
      </c>
      <c r="F94" s="248">
        <v>10</v>
      </c>
      <c r="G94" s="250">
        <f t="shared" si="30"/>
        <v>7.3214285714285703</v>
      </c>
      <c r="H94" s="252">
        <v>18</v>
      </c>
      <c r="I94" s="249"/>
      <c r="J94" s="251"/>
      <c r="K94" s="251"/>
      <c r="L94" s="249"/>
      <c r="M94" s="252">
        <v>12</v>
      </c>
      <c r="N94" s="248">
        <v>120</v>
      </c>
      <c r="O94" s="248">
        <f t="shared" si="29"/>
        <v>0</v>
      </c>
      <c r="P94" s="427">
        <v>-12</v>
      </c>
      <c r="Q94" s="419">
        <v>8904156703476</v>
      </c>
    </row>
    <row r="95" spans="1:23" x14ac:dyDescent="0.25">
      <c r="A95" s="248">
        <v>5</v>
      </c>
      <c r="B95" s="407" t="s">
        <v>191</v>
      </c>
      <c r="C95" s="248" t="s">
        <v>239</v>
      </c>
      <c r="D95" s="470"/>
      <c r="E95" s="414">
        <v>21069099</v>
      </c>
      <c r="F95" s="248">
        <v>10</v>
      </c>
      <c r="G95" s="250">
        <f t="shared" si="30"/>
        <v>7.3214285714285703</v>
      </c>
      <c r="H95" s="252">
        <v>18</v>
      </c>
      <c r="I95" s="249"/>
      <c r="J95" s="251"/>
      <c r="K95" s="251"/>
      <c r="L95" s="249"/>
      <c r="M95" s="252">
        <v>12</v>
      </c>
      <c r="N95" s="248">
        <v>120</v>
      </c>
      <c r="O95" s="248">
        <f t="shared" si="29"/>
        <v>0</v>
      </c>
      <c r="P95" s="427">
        <v>-108</v>
      </c>
      <c r="Q95" s="419">
        <v>8904156711792</v>
      </c>
    </row>
    <row r="96" spans="1:23" x14ac:dyDescent="0.25">
      <c r="A96" s="248">
        <v>6</v>
      </c>
      <c r="B96" s="407" t="s">
        <v>191</v>
      </c>
      <c r="C96" s="248" t="s">
        <v>240</v>
      </c>
      <c r="D96" s="470">
        <v>181353</v>
      </c>
      <c r="E96" s="414">
        <v>21069099</v>
      </c>
      <c r="F96" s="248">
        <v>35</v>
      </c>
      <c r="G96" s="250">
        <f t="shared" si="30"/>
        <v>25.624999999999996</v>
      </c>
      <c r="H96" s="252">
        <v>18</v>
      </c>
      <c r="I96" s="249"/>
      <c r="J96" s="251"/>
      <c r="K96" s="251"/>
      <c r="L96" s="249"/>
      <c r="M96" s="252">
        <v>12</v>
      </c>
      <c r="N96" s="248">
        <v>48</v>
      </c>
      <c r="O96" s="248">
        <f t="shared" si="29"/>
        <v>1</v>
      </c>
      <c r="P96" s="427">
        <v>48</v>
      </c>
      <c r="Q96" s="419">
        <v>8904156712126</v>
      </c>
    </row>
    <row r="97" spans="1:17" x14ac:dyDescent="0.25">
      <c r="A97" s="248">
        <v>7</v>
      </c>
      <c r="B97" s="407" t="s">
        <v>191</v>
      </c>
      <c r="C97" s="248" t="s">
        <v>241</v>
      </c>
      <c r="D97" s="470"/>
      <c r="E97" s="414">
        <v>21069099</v>
      </c>
      <c r="F97" s="248">
        <v>10</v>
      </c>
      <c r="G97" s="250">
        <f t="shared" si="30"/>
        <v>7.3214285714285703</v>
      </c>
      <c r="H97" s="252">
        <v>18</v>
      </c>
      <c r="I97" s="249"/>
      <c r="J97" s="251"/>
      <c r="K97" s="251"/>
      <c r="L97" s="249"/>
      <c r="M97" s="252">
        <v>12</v>
      </c>
      <c r="N97" s="248">
        <v>180</v>
      </c>
      <c r="O97" s="248">
        <f t="shared" si="29"/>
        <v>0</v>
      </c>
      <c r="P97" s="427">
        <v>52</v>
      </c>
      <c r="Q97" s="419">
        <v>8904156707382</v>
      </c>
    </row>
    <row r="98" spans="1:17" x14ac:dyDescent="0.25">
      <c r="A98" s="248">
        <v>8</v>
      </c>
      <c r="B98" s="407" t="s">
        <v>191</v>
      </c>
      <c r="C98" s="248" t="s">
        <v>242</v>
      </c>
      <c r="D98" s="470">
        <v>181352</v>
      </c>
      <c r="E98" s="414">
        <v>21069099</v>
      </c>
      <c r="F98" s="248">
        <v>35</v>
      </c>
      <c r="G98" s="250">
        <f t="shared" si="30"/>
        <v>25.624999999999996</v>
      </c>
      <c r="H98" s="252">
        <v>18</v>
      </c>
      <c r="I98" s="249"/>
      <c r="J98" s="251"/>
      <c r="K98" s="251"/>
      <c r="L98" s="249"/>
      <c r="M98" s="252">
        <v>12</v>
      </c>
      <c r="N98" s="248">
        <v>48</v>
      </c>
      <c r="O98" s="248">
        <f t="shared" si="29"/>
        <v>0</v>
      </c>
      <c r="P98" s="427">
        <v>-3</v>
      </c>
      <c r="Q98" s="419">
        <v>8904156712072</v>
      </c>
    </row>
    <row r="99" spans="1:17" x14ac:dyDescent="0.25">
      <c r="A99" s="248">
        <v>9</v>
      </c>
      <c r="B99" s="407" t="s">
        <v>191</v>
      </c>
      <c r="C99" s="248" t="s">
        <v>243</v>
      </c>
      <c r="D99" s="470">
        <v>40309</v>
      </c>
      <c r="E99" s="414">
        <v>9109100</v>
      </c>
      <c r="F99" s="248">
        <v>46</v>
      </c>
      <c r="G99" s="250">
        <f t="shared" si="30"/>
        <v>35.923809523809524</v>
      </c>
      <c r="H99" s="252">
        <v>18</v>
      </c>
      <c r="I99" s="249"/>
      <c r="J99" s="251"/>
      <c r="K99" s="251"/>
      <c r="L99" s="249"/>
      <c r="M99" s="252">
        <v>5</v>
      </c>
      <c r="N99" s="248">
        <v>130</v>
      </c>
      <c r="O99" s="248">
        <f t="shared" si="29"/>
        <v>0</v>
      </c>
      <c r="P99" s="427">
        <v>-44</v>
      </c>
      <c r="Q99" s="419">
        <v>8904156701939</v>
      </c>
    </row>
    <row r="100" spans="1:17" x14ac:dyDescent="0.25">
      <c r="A100" s="248">
        <v>10</v>
      </c>
      <c r="B100" s="407" t="s">
        <v>191</v>
      </c>
      <c r="C100" s="248" t="s">
        <v>244</v>
      </c>
      <c r="D100" s="470">
        <v>40308</v>
      </c>
      <c r="E100" s="414">
        <v>9109100</v>
      </c>
      <c r="F100" s="248">
        <v>46</v>
      </c>
      <c r="G100" s="250">
        <f t="shared" si="30"/>
        <v>35.923809523809524</v>
      </c>
      <c r="H100" s="252">
        <v>18</v>
      </c>
      <c r="I100" s="249"/>
      <c r="J100" s="251"/>
      <c r="K100" s="251"/>
      <c r="L100" s="249"/>
      <c r="M100" s="252">
        <v>5</v>
      </c>
      <c r="N100" s="248">
        <v>120</v>
      </c>
      <c r="O100" s="248">
        <f t="shared" ref="O100:O109" si="31">IFERROR(ROUNDDOWN(P100/N100,"0.5"),0)</f>
        <v>0</v>
      </c>
      <c r="P100" s="427">
        <v>-13</v>
      </c>
      <c r="Q100" s="419">
        <v>8904156701960</v>
      </c>
    </row>
    <row r="101" spans="1:17" x14ac:dyDescent="0.25">
      <c r="A101" s="248">
        <v>11</v>
      </c>
      <c r="B101" s="407" t="s">
        <v>191</v>
      </c>
      <c r="C101" s="248" t="s">
        <v>245</v>
      </c>
      <c r="D101" s="470">
        <v>181038</v>
      </c>
      <c r="E101" s="414">
        <v>21069099</v>
      </c>
      <c r="F101" s="248">
        <v>60</v>
      </c>
      <c r="G101" s="250">
        <f t="shared" si="30"/>
        <v>46.857142857142861</v>
      </c>
      <c r="H101" s="252">
        <v>18</v>
      </c>
      <c r="I101" s="249"/>
      <c r="J101" s="251"/>
      <c r="K101" s="251"/>
      <c r="L101" s="249"/>
      <c r="M101" s="252">
        <v>5</v>
      </c>
      <c r="N101" s="248">
        <v>32</v>
      </c>
      <c r="O101" s="248">
        <f t="shared" si="31"/>
        <v>-1</v>
      </c>
      <c r="P101" s="427">
        <v>-33</v>
      </c>
      <c r="Q101" s="419">
        <v>8904156707207</v>
      </c>
    </row>
    <row r="102" spans="1:17" x14ac:dyDescent="0.25">
      <c r="A102" s="248">
        <v>12</v>
      </c>
      <c r="B102" s="407" t="s">
        <v>191</v>
      </c>
      <c r="C102" s="248" t="s">
        <v>246</v>
      </c>
      <c r="D102" s="470">
        <v>181354</v>
      </c>
      <c r="E102" s="414">
        <v>21069099</v>
      </c>
      <c r="F102" s="248">
        <v>115</v>
      </c>
      <c r="G102" s="250">
        <f>(F102-F102*H102%)/(1+M102/100)</f>
        <v>89.809523809523796</v>
      </c>
      <c r="H102" s="252">
        <v>18</v>
      </c>
      <c r="I102" s="249"/>
      <c r="J102" s="251"/>
      <c r="K102" s="251"/>
      <c r="L102" s="249"/>
      <c r="M102" s="252">
        <v>5</v>
      </c>
      <c r="N102" s="248">
        <v>20</v>
      </c>
      <c r="O102" s="248">
        <f>IFERROR(ROUNDDOWN(P102/N102,"0.5"),0)</f>
        <v>0</v>
      </c>
      <c r="P102" s="427">
        <v>-14</v>
      </c>
      <c r="Q102" s="419">
        <v>8904156706439</v>
      </c>
    </row>
    <row r="103" spans="1:17" x14ac:dyDescent="0.25">
      <c r="A103" s="248">
        <v>13</v>
      </c>
      <c r="B103" s="407" t="s">
        <v>191</v>
      </c>
      <c r="C103" s="248" t="s">
        <v>247</v>
      </c>
      <c r="D103" s="470">
        <v>181039</v>
      </c>
      <c r="E103" s="414">
        <v>21069099</v>
      </c>
      <c r="F103" s="248">
        <v>65</v>
      </c>
      <c r="G103" s="250">
        <f t="shared" si="30"/>
        <v>50.761904761904759</v>
      </c>
      <c r="H103" s="252">
        <v>18</v>
      </c>
      <c r="I103" s="249"/>
      <c r="J103" s="251"/>
      <c r="K103" s="251"/>
      <c r="L103" s="249"/>
      <c r="M103" s="252">
        <v>5</v>
      </c>
      <c r="N103" s="248">
        <v>32</v>
      </c>
      <c r="O103" s="248">
        <f>IFERROR(ROUNDDOWN(P103/N103,"0.5"),0)</f>
        <v>0</v>
      </c>
      <c r="P103" s="427">
        <v>-27</v>
      </c>
      <c r="Q103" s="419">
        <v>8904156708853</v>
      </c>
    </row>
    <row r="104" spans="1:17" x14ac:dyDescent="0.25">
      <c r="A104" s="248">
        <v>14</v>
      </c>
      <c r="B104" s="407" t="s">
        <v>191</v>
      </c>
      <c r="C104" s="248" t="s">
        <v>248</v>
      </c>
      <c r="D104" s="470">
        <v>181355</v>
      </c>
      <c r="E104" s="414">
        <v>21069099</v>
      </c>
      <c r="F104" s="248">
        <v>115</v>
      </c>
      <c r="G104" s="250">
        <f>(F104-F104*H104%)/(1+M104/100)</f>
        <v>89.809523809523796</v>
      </c>
      <c r="H104" s="252">
        <v>18</v>
      </c>
      <c r="I104" s="249"/>
      <c r="J104" s="251"/>
      <c r="K104" s="251"/>
      <c r="L104" s="249"/>
      <c r="M104" s="252">
        <v>5</v>
      </c>
      <c r="N104" s="248">
        <v>20</v>
      </c>
      <c r="O104" s="248">
        <f>IFERROR(ROUNDDOWN(P104/N104,"0.5"),0)</f>
        <v>0</v>
      </c>
      <c r="P104" s="427">
        <v>-5</v>
      </c>
      <c r="Q104" s="419">
        <v>8904156708860</v>
      </c>
    </row>
    <row r="105" spans="1:17" x14ac:dyDescent="0.25">
      <c r="A105" s="248">
        <v>15</v>
      </c>
      <c r="B105" s="407" t="s">
        <v>191</v>
      </c>
      <c r="C105" s="248" t="s">
        <v>325</v>
      </c>
      <c r="D105" s="470"/>
      <c r="E105" s="414">
        <v>21069099</v>
      </c>
      <c r="F105" s="248">
        <v>65</v>
      </c>
      <c r="G105" s="250">
        <f t="shared" ref="G105" si="32">(F105-F105*H105%)/(1+M105/100)</f>
        <v>50.761904761904759</v>
      </c>
      <c r="H105" s="252">
        <v>18</v>
      </c>
      <c r="I105" s="249"/>
      <c r="J105" s="251"/>
      <c r="K105" s="251"/>
      <c r="L105" s="249"/>
      <c r="M105" s="252">
        <v>5</v>
      </c>
      <c r="N105" s="248">
        <v>80</v>
      </c>
      <c r="O105" s="248">
        <f t="shared" ref="O105" si="33">IFERROR(ROUNDDOWN(P105/N105,"0.5"),0)</f>
        <v>-1</v>
      </c>
      <c r="P105" s="427">
        <v>-83</v>
      </c>
      <c r="Q105" s="419">
        <v>8904156700390</v>
      </c>
    </row>
    <row r="106" spans="1:17" x14ac:dyDescent="0.25">
      <c r="A106" s="248">
        <v>15</v>
      </c>
      <c r="B106" s="407" t="s">
        <v>191</v>
      </c>
      <c r="C106" s="248" t="s">
        <v>249</v>
      </c>
      <c r="D106" s="470">
        <v>181040</v>
      </c>
      <c r="E106" s="414">
        <v>21069099</v>
      </c>
      <c r="F106" s="248">
        <v>25</v>
      </c>
      <c r="G106" s="250">
        <f t="shared" si="30"/>
        <v>19.523809523809522</v>
      </c>
      <c r="H106" s="252">
        <v>18</v>
      </c>
      <c r="I106" s="249"/>
      <c r="J106" s="251"/>
      <c r="K106" s="251"/>
      <c r="L106" s="249"/>
      <c r="M106" s="252">
        <v>5</v>
      </c>
      <c r="N106" s="248">
        <v>80</v>
      </c>
      <c r="O106" s="248">
        <f t="shared" si="31"/>
        <v>0</v>
      </c>
      <c r="P106" s="427">
        <v>-56</v>
      </c>
      <c r="Q106" s="419">
        <v>8904156708723</v>
      </c>
    </row>
    <row r="107" spans="1:17" x14ac:dyDescent="0.25">
      <c r="A107" s="248">
        <v>16</v>
      </c>
      <c r="B107" s="407" t="s">
        <v>191</v>
      </c>
      <c r="C107" s="248" t="s">
        <v>250</v>
      </c>
      <c r="D107" s="470">
        <v>181349</v>
      </c>
      <c r="E107" s="414">
        <v>21069099</v>
      </c>
      <c r="F107" s="248">
        <v>95</v>
      </c>
      <c r="G107" s="250">
        <f t="shared" ref="G107:G115" si="34">(F107-F107*H107%)/(1+M107/100)</f>
        <v>66.016949152542381</v>
      </c>
      <c r="H107" s="252">
        <v>18</v>
      </c>
      <c r="I107" s="249"/>
      <c r="J107" s="251"/>
      <c r="K107" s="251"/>
      <c r="L107" s="249"/>
      <c r="M107" s="252">
        <v>18</v>
      </c>
      <c r="N107" s="248">
        <v>65</v>
      </c>
      <c r="O107" s="248">
        <f t="shared" si="31"/>
        <v>-2</v>
      </c>
      <c r="P107" s="427">
        <v>-147</v>
      </c>
      <c r="Q107" s="419">
        <v>8904156712232</v>
      </c>
    </row>
    <row r="108" spans="1:17" x14ac:dyDescent="0.25">
      <c r="A108" s="248">
        <v>17</v>
      </c>
      <c r="B108" s="407" t="s">
        <v>191</v>
      </c>
      <c r="C108" s="248" t="s">
        <v>251</v>
      </c>
      <c r="D108" s="470">
        <v>181350</v>
      </c>
      <c r="E108" s="414">
        <v>21069099</v>
      </c>
      <c r="F108" s="248">
        <v>105</v>
      </c>
      <c r="G108" s="250">
        <f t="shared" si="34"/>
        <v>72.966101694915253</v>
      </c>
      <c r="H108" s="252">
        <v>18</v>
      </c>
      <c r="I108" s="249"/>
      <c r="J108" s="251"/>
      <c r="K108" s="251"/>
      <c r="L108" s="249"/>
      <c r="M108" s="252">
        <v>18</v>
      </c>
      <c r="N108" s="248">
        <v>48</v>
      </c>
      <c r="O108" s="248">
        <f t="shared" si="31"/>
        <v>-2</v>
      </c>
      <c r="P108" s="427">
        <v>-128</v>
      </c>
      <c r="Q108" s="419">
        <v>8904156702080</v>
      </c>
    </row>
    <row r="109" spans="1:17" x14ac:dyDescent="0.25">
      <c r="A109" s="248">
        <v>18</v>
      </c>
      <c r="B109" s="407" t="s">
        <v>191</v>
      </c>
      <c r="C109" s="248" t="s">
        <v>252</v>
      </c>
      <c r="D109" s="470"/>
      <c r="E109" s="414">
        <v>21069099</v>
      </c>
      <c r="F109" s="248">
        <v>45</v>
      </c>
      <c r="G109" s="250">
        <f t="shared" si="34"/>
        <v>31.271186440677965</v>
      </c>
      <c r="H109" s="252">
        <v>18</v>
      </c>
      <c r="I109" s="249"/>
      <c r="J109" s="251"/>
      <c r="K109" s="251"/>
      <c r="L109" s="249"/>
      <c r="M109" s="252">
        <v>18</v>
      </c>
      <c r="N109" s="248">
        <v>48</v>
      </c>
      <c r="O109" s="248">
        <f t="shared" si="31"/>
        <v>0</v>
      </c>
      <c r="P109" s="427">
        <v>0</v>
      </c>
      <c r="Q109" s="419">
        <v>8904156711020</v>
      </c>
    </row>
    <row r="110" spans="1:17" x14ac:dyDescent="0.25">
      <c r="A110" s="248">
        <v>19</v>
      </c>
      <c r="B110" s="407" t="s">
        <v>191</v>
      </c>
      <c r="C110" s="248" t="s">
        <v>253</v>
      </c>
      <c r="D110" s="470">
        <v>40380</v>
      </c>
      <c r="E110" s="414">
        <v>9042211</v>
      </c>
      <c r="F110" s="248">
        <v>17</v>
      </c>
      <c r="G110" s="250">
        <f t="shared" si="34"/>
        <v>10.038095238095236</v>
      </c>
      <c r="H110" s="252">
        <v>38</v>
      </c>
      <c r="I110" s="249"/>
      <c r="J110" s="251"/>
      <c r="K110" s="251"/>
      <c r="L110" s="249"/>
      <c r="M110" s="252">
        <v>5</v>
      </c>
      <c r="N110" s="248">
        <v>240</v>
      </c>
      <c r="O110" s="248">
        <f t="shared" ref="O110:O115" si="35">IFERROR(ROUNDDOWN(P110/N110,"0.5"),0)</f>
        <v>0</v>
      </c>
      <c r="P110" s="427">
        <v>120</v>
      </c>
      <c r="Q110" s="419">
        <v>8904156706248</v>
      </c>
    </row>
    <row r="111" spans="1:17" x14ac:dyDescent="0.25">
      <c r="A111" s="248">
        <v>20</v>
      </c>
      <c r="B111" s="407" t="s">
        <v>191</v>
      </c>
      <c r="C111" s="248" t="s">
        <v>254</v>
      </c>
      <c r="D111" s="470">
        <v>40376</v>
      </c>
      <c r="E111" s="414">
        <v>9042211</v>
      </c>
      <c r="F111" s="248">
        <v>32</v>
      </c>
      <c r="G111" s="250">
        <f t="shared" si="34"/>
        <v>18.895238095238096</v>
      </c>
      <c r="H111" s="252">
        <v>38</v>
      </c>
      <c r="I111" s="249"/>
      <c r="J111" s="251"/>
      <c r="K111" s="251"/>
      <c r="L111" s="249"/>
      <c r="M111" s="252">
        <v>5</v>
      </c>
      <c r="N111" s="248">
        <v>120</v>
      </c>
      <c r="O111" s="248">
        <f t="shared" si="35"/>
        <v>0</v>
      </c>
      <c r="P111" s="427">
        <v>10</v>
      </c>
      <c r="Q111" s="419">
        <v>8904156702295</v>
      </c>
    </row>
    <row r="112" spans="1:17" x14ac:dyDescent="0.25">
      <c r="A112" s="248">
        <v>21</v>
      </c>
      <c r="B112" s="407" t="s">
        <v>191</v>
      </c>
      <c r="C112" s="248" t="s">
        <v>255</v>
      </c>
      <c r="D112" s="470">
        <v>40307</v>
      </c>
      <c r="E112" s="414">
        <v>9042211</v>
      </c>
      <c r="F112" s="248">
        <v>145</v>
      </c>
      <c r="G112" s="250">
        <f t="shared" si="34"/>
        <v>85.61904761904762</v>
      </c>
      <c r="H112" s="252">
        <v>38</v>
      </c>
      <c r="I112" s="249"/>
      <c r="J112" s="251"/>
      <c r="K112" s="251"/>
      <c r="L112" s="249"/>
      <c r="M112" s="252">
        <v>5</v>
      </c>
      <c r="N112" s="248">
        <v>20</v>
      </c>
      <c r="O112" s="248">
        <f t="shared" si="35"/>
        <v>-1</v>
      </c>
      <c r="P112" s="427">
        <v>-23</v>
      </c>
      <c r="Q112" s="419">
        <v>8904156710511</v>
      </c>
    </row>
    <row r="113" spans="1:17" x14ac:dyDescent="0.25">
      <c r="A113" s="248">
        <v>22</v>
      </c>
      <c r="B113" s="407" t="s">
        <v>191</v>
      </c>
      <c r="C113" s="248" t="s">
        <v>256</v>
      </c>
      <c r="D113" s="470">
        <v>40377</v>
      </c>
      <c r="E113" s="414">
        <v>9103030</v>
      </c>
      <c r="F113" s="248">
        <v>30</v>
      </c>
      <c r="G113" s="250">
        <f t="shared" si="34"/>
        <v>17.714285714285715</v>
      </c>
      <c r="H113" s="252">
        <v>38</v>
      </c>
      <c r="I113" s="249"/>
      <c r="J113" s="251"/>
      <c r="K113" s="251"/>
      <c r="L113" s="249"/>
      <c r="M113" s="252">
        <v>5</v>
      </c>
      <c r="N113" s="248">
        <v>120</v>
      </c>
      <c r="O113" s="248">
        <f t="shared" si="35"/>
        <v>0</v>
      </c>
      <c r="P113" s="427">
        <v>-30</v>
      </c>
      <c r="Q113" s="419">
        <v>8904156702288</v>
      </c>
    </row>
    <row r="114" spans="1:17" x14ac:dyDescent="0.25">
      <c r="A114" s="248">
        <v>23</v>
      </c>
      <c r="B114" s="407" t="s">
        <v>191</v>
      </c>
      <c r="C114" s="248" t="s">
        <v>257</v>
      </c>
      <c r="D114" s="470">
        <v>40379</v>
      </c>
      <c r="E114" s="414">
        <v>9103030</v>
      </c>
      <c r="F114" s="248">
        <v>150</v>
      </c>
      <c r="G114" s="250">
        <f t="shared" si="34"/>
        <v>88.571428571428569</v>
      </c>
      <c r="H114" s="252">
        <v>38</v>
      </c>
      <c r="I114" s="249"/>
      <c r="J114" s="251"/>
      <c r="K114" s="251"/>
      <c r="L114" s="249"/>
      <c r="M114" s="252">
        <v>5</v>
      </c>
      <c r="N114" s="248">
        <v>20</v>
      </c>
      <c r="O114" s="248">
        <f t="shared" si="35"/>
        <v>0</v>
      </c>
      <c r="P114" s="427">
        <v>4</v>
      </c>
      <c r="Q114" s="419">
        <v>8904156710580</v>
      </c>
    </row>
    <row r="115" spans="1:17" x14ac:dyDescent="0.25">
      <c r="A115" s="248">
        <v>24</v>
      </c>
      <c r="B115" s="407" t="s">
        <v>191</v>
      </c>
      <c r="C115" s="248" t="s">
        <v>258</v>
      </c>
      <c r="D115" s="470">
        <v>40378</v>
      </c>
      <c r="E115" s="414">
        <v>9092200</v>
      </c>
      <c r="F115" s="248">
        <v>150</v>
      </c>
      <c r="G115" s="250">
        <f t="shared" si="34"/>
        <v>78.813559322033896</v>
      </c>
      <c r="H115" s="252">
        <v>38</v>
      </c>
      <c r="I115" s="249"/>
      <c r="J115" s="251"/>
      <c r="K115" s="251"/>
      <c r="L115" s="249"/>
      <c r="M115" s="252">
        <v>18</v>
      </c>
      <c r="N115" s="248">
        <v>20</v>
      </c>
      <c r="O115" s="248">
        <f t="shared" si="35"/>
        <v>0</v>
      </c>
      <c r="P115" s="427">
        <v>0</v>
      </c>
      <c r="Q115" s="419">
        <v>8904156710559</v>
      </c>
    </row>
    <row r="116" spans="1:17" x14ac:dyDescent="0.25">
      <c r="A116" s="248"/>
      <c r="B116" s="407"/>
      <c r="C116" s="248"/>
      <c r="D116" s="470"/>
      <c r="E116" s="414"/>
      <c r="F116" s="248"/>
      <c r="G116" s="250"/>
      <c r="H116" s="252"/>
      <c r="I116" s="249"/>
      <c r="J116" s="251"/>
      <c r="K116" s="251"/>
      <c r="L116" s="249"/>
      <c r="M116" s="252"/>
      <c r="N116" s="248"/>
      <c r="O116" s="248"/>
      <c r="P116" s="427"/>
    </row>
    <row r="117" spans="1:17" x14ac:dyDescent="0.25">
      <c r="A117" s="248"/>
      <c r="B117" s="407"/>
      <c r="C117" s="248"/>
      <c r="D117" s="470"/>
      <c r="E117" s="414"/>
      <c r="F117" s="248"/>
      <c r="G117" s="250"/>
      <c r="H117" s="252"/>
      <c r="I117" s="249"/>
      <c r="J117" s="251"/>
      <c r="K117" s="251"/>
      <c r="L117" s="249"/>
      <c r="M117" s="252"/>
      <c r="N117" s="248"/>
      <c r="O117" s="248"/>
      <c r="P117" s="427"/>
    </row>
  </sheetData>
  <mergeCells count="11">
    <mergeCell ref="P1:P2"/>
    <mergeCell ref="G1:L1"/>
    <mergeCell ref="F1:F2"/>
    <mergeCell ref="O1:O2"/>
    <mergeCell ref="A1:A2"/>
    <mergeCell ref="B1:B2"/>
    <mergeCell ref="N1:N2"/>
    <mergeCell ref="E1:E2"/>
    <mergeCell ref="D1:D2"/>
    <mergeCell ref="C1:C2"/>
    <mergeCell ref="M1:M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CommandButton2">
          <controlPr defaultSize="0" print="0" autoLine="0" r:id="rId5">
            <anchor moveWithCells="1">
              <from>
                <xdr:col>2</xdr:col>
                <xdr:colOff>85725</xdr:colOff>
                <xdr:row>0</xdr:row>
                <xdr:rowOff>57150</xdr:rowOff>
              </from>
              <to>
                <xdr:col>2</xdr:col>
                <xdr:colOff>800100</xdr:colOff>
                <xdr:row>1</xdr:row>
                <xdr:rowOff>152400</xdr:rowOff>
              </to>
            </anchor>
          </controlPr>
        </control>
      </mc:Choice>
      <mc:Fallback>
        <control shapeId="11266" r:id="rId4" name="CommandButton2"/>
      </mc:Fallback>
    </mc:AlternateContent>
    <mc:AlternateContent xmlns:mc="http://schemas.openxmlformats.org/markup-compatibility/2006">
      <mc:Choice Requires="x14">
        <control shapeId="11265" r:id="rId6" name="CommandButton1">
          <controlPr defaultSize="0" print="0" autoLine="0" r:id="rId7">
            <anchor moveWithCells="1">
              <from>
                <xdr:col>2</xdr:col>
                <xdr:colOff>1724025</xdr:colOff>
                <xdr:row>0</xdr:row>
                <xdr:rowOff>57150</xdr:rowOff>
              </from>
              <to>
                <xdr:col>2</xdr:col>
                <xdr:colOff>2390775</xdr:colOff>
                <xdr:row>1</xdr:row>
                <xdr:rowOff>152400</xdr:rowOff>
              </to>
            </anchor>
          </controlPr>
        </control>
      </mc:Choice>
      <mc:Fallback>
        <control shapeId="11265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7" tint="0.39997558519241921"/>
  </sheetPr>
  <dimension ref="A1:L5"/>
  <sheetViews>
    <sheetView topLeftCell="B1" workbookViewId="0">
      <selection activeCell="H3" sqref="H3"/>
    </sheetView>
  </sheetViews>
  <sheetFormatPr defaultRowHeight="15" x14ac:dyDescent="0.25"/>
  <cols>
    <col min="1" max="1" width="4.85546875" bestFit="1" customWidth="1"/>
    <col min="2" max="2" width="29.28515625" customWidth="1"/>
    <col min="3" max="3" width="30.28515625" bestFit="1" customWidth="1"/>
    <col min="4" max="4" width="28" bestFit="1" customWidth="1"/>
    <col min="5" max="5" width="11" bestFit="1" customWidth="1"/>
    <col min="6" max="6" width="15.140625" bestFit="1" customWidth="1"/>
    <col min="7" max="7" width="10.5703125" customWidth="1"/>
    <col min="8" max="8" width="18.140625" customWidth="1"/>
    <col min="9" max="9" width="11.5703125" bestFit="1" customWidth="1"/>
  </cols>
  <sheetData>
    <row r="1" spans="1:12" x14ac:dyDescent="0.25">
      <c r="A1" s="1" t="s">
        <v>0</v>
      </c>
      <c r="B1" s="1" t="s">
        <v>1</v>
      </c>
      <c r="C1" s="1" t="s">
        <v>71</v>
      </c>
      <c r="D1" s="1" t="s">
        <v>20</v>
      </c>
      <c r="E1" s="1" t="s">
        <v>30</v>
      </c>
      <c r="F1" s="2" t="s">
        <v>21</v>
      </c>
      <c r="G1" s="2" t="s">
        <v>45</v>
      </c>
      <c r="H1" s="1" t="s">
        <v>22</v>
      </c>
      <c r="I1" s="1" t="s">
        <v>312</v>
      </c>
      <c r="K1" s="1"/>
      <c r="L1" s="1"/>
    </row>
    <row r="2" spans="1:12" s="207" customFormat="1" x14ac:dyDescent="0.25">
      <c r="A2" s="207">
        <v>1</v>
      </c>
      <c r="B2" s="207" t="s">
        <v>154</v>
      </c>
      <c r="C2" s="207" t="s">
        <v>384</v>
      </c>
      <c r="D2" s="207" t="s">
        <v>156</v>
      </c>
      <c r="E2" s="207" t="s">
        <v>356</v>
      </c>
      <c r="F2" s="258" t="s">
        <v>105</v>
      </c>
      <c r="G2" s="258" t="s">
        <v>382</v>
      </c>
      <c r="H2" s="207" t="s">
        <v>390</v>
      </c>
      <c r="I2" t="s">
        <v>303</v>
      </c>
    </row>
    <row r="3" spans="1:12" s="207" customFormat="1" x14ac:dyDescent="0.25">
      <c r="A3" s="207">
        <v>2</v>
      </c>
      <c r="B3" s="207" t="s">
        <v>155</v>
      </c>
      <c r="C3" s="207" t="s">
        <v>385</v>
      </c>
      <c r="D3" s="207" t="s">
        <v>157</v>
      </c>
      <c r="F3" s="258" t="s">
        <v>105</v>
      </c>
      <c r="H3" s="207" t="s">
        <v>338</v>
      </c>
      <c r="I3" t="s">
        <v>303</v>
      </c>
    </row>
    <row r="4" spans="1:12" s="207" customFormat="1" x14ac:dyDescent="0.25">
      <c r="A4" s="207">
        <v>3</v>
      </c>
      <c r="B4" s="207" t="s">
        <v>17</v>
      </c>
      <c r="C4" s="207" t="s">
        <v>386</v>
      </c>
      <c r="D4" s="207" t="s">
        <v>158</v>
      </c>
      <c r="F4" s="207" t="s">
        <v>159</v>
      </c>
      <c r="G4" s="207" t="s">
        <v>388</v>
      </c>
      <c r="H4" s="207" t="s">
        <v>391</v>
      </c>
      <c r="I4" t="s">
        <v>304</v>
      </c>
    </row>
    <row r="5" spans="1:12" x14ac:dyDescent="0.25">
      <c r="A5">
        <v>5</v>
      </c>
      <c r="B5" t="s">
        <v>308</v>
      </c>
      <c r="C5" t="s">
        <v>309</v>
      </c>
      <c r="D5" t="s">
        <v>310</v>
      </c>
      <c r="E5" t="s">
        <v>387</v>
      </c>
      <c r="F5" t="s">
        <v>105</v>
      </c>
      <c r="G5" t="s">
        <v>389</v>
      </c>
      <c r="H5" t="s">
        <v>392</v>
      </c>
      <c r="I5" t="s">
        <v>303</v>
      </c>
    </row>
  </sheetData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G8"/>
  <sheetViews>
    <sheetView workbookViewId="0">
      <selection activeCell="G2" sqref="G2"/>
    </sheetView>
  </sheetViews>
  <sheetFormatPr defaultRowHeight="15" x14ac:dyDescent="0.25"/>
  <cols>
    <col min="3" max="3" width="10.28515625" bestFit="1" customWidth="1"/>
    <col min="6" max="6" width="13" customWidth="1"/>
  </cols>
  <sheetData>
    <row r="1" spans="1:7" s="1" customFormat="1" x14ac:dyDescent="0.25">
      <c r="A1" s="418" t="s">
        <v>14</v>
      </c>
      <c r="B1" s="418" t="s">
        <v>4</v>
      </c>
      <c r="C1" s="1" t="s">
        <v>302</v>
      </c>
      <c r="D1" s="65" t="s">
        <v>85</v>
      </c>
      <c r="E1" s="65" t="s">
        <v>86</v>
      </c>
      <c r="F1" s="1" t="s">
        <v>324</v>
      </c>
      <c r="G1" s="1" t="s">
        <v>400</v>
      </c>
    </row>
    <row r="2" spans="1:7" x14ac:dyDescent="0.25">
      <c r="A2" s="66" t="s">
        <v>15</v>
      </c>
      <c r="B2" s="66">
        <v>5</v>
      </c>
      <c r="C2" t="s">
        <v>303</v>
      </c>
      <c r="D2" t="s">
        <v>28</v>
      </c>
      <c r="E2" t="s">
        <v>31</v>
      </c>
      <c r="F2" t="s">
        <v>317</v>
      </c>
      <c r="G2" t="s">
        <v>335</v>
      </c>
    </row>
    <row r="3" spans="1:7" x14ac:dyDescent="0.25">
      <c r="A3" s="66" t="s">
        <v>17</v>
      </c>
      <c r="B3" s="66">
        <v>12</v>
      </c>
      <c r="C3" t="s">
        <v>304</v>
      </c>
      <c r="D3" t="s">
        <v>32</v>
      </c>
      <c r="E3" t="s">
        <v>33</v>
      </c>
      <c r="F3" t="s">
        <v>318</v>
      </c>
    </row>
    <row r="4" spans="1:7" x14ac:dyDescent="0.25">
      <c r="A4" s="66" t="s">
        <v>16</v>
      </c>
      <c r="B4" s="66">
        <v>18</v>
      </c>
      <c r="F4" t="s">
        <v>319</v>
      </c>
    </row>
    <row r="5" spans="1:7" x14ac:dyDescent="0.25">
      <c r="A5" s="66" t="s">
        <v>18</v>
      </c>
      <c r="B5" s="66">
        <v>28</v>
      </c>
      <c r="F5" t="s">
        <v>320</v>
      </c>
    </row>
    <row r="6" spans="1:7" x14ac:dyDescent="0.25">
      <c r="A6" s="66" t="s">
        <v>190</v>
      </c>
      <c r="B6" s="66"/>
      <c r="F6" t="s">
        <v>321</v>
      </c>
    </row>
    <row r="7" spans="1:7" x14ac:dyDescent="0.25">
      <c r="A7" s="66" t="s">
        <v>191</v>
      </c>
      <c r="B7" s="66"/>
      <c r="F7" t="s">
        <v>322</v>
      </c>
    </row>
    <row r="8" spans="1:7" x14ac:dyDescent="0.25">
      <c r="F8" t="s">
        <v>323</v>
      </c>
    </row>
  </sheetData>
  <pageMargins left="0.7" right="0.7" top="0.75" bottom="0.75" header="0.3" footer="0.3"/>
  <pageSetup orientation="portrait" horizontalDpi="4294967294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0070C0"/>
  </sheetPr>
  <dimension ref="A1:Y28"/>
  <sheetViews>
    <sheetView zoomScale="85" zoomScaleNormal="85" workbookViewId="0">
      <pane xSplit="3" ySplit="1" topLeftCell="E2" activePane="bottomRight" state="frozen"/>
      <selection pane="topRight" activeCell="D1" sqref="D1"/>
      <selection pane="bottomLeft" activeCell="A2" sqref="A2"/>
      <selection pane="bottomRight" activeCell="J27" sqref="J27"/>
    </sheetView>
  </sheetViews>
  <sheetFormatPr defaultRowHeight="15" x14ac:dyDescent="0.25"/>
  <cols>
    <col min="1" max="2" width="9.140625" style="525"/>
    <col min="3" max="3" width="24.42578125" style="525" customWidth="1"/>
    <col min="4" max="4" width="26.42578125" style="525" customWidth="1"/>
    <col min="5" max="5" width="38.28515625" style="525" customWidth="1"/>
    <col min="6" max="6" width="38.140625" style="525" customWidth="1"/>
    <col min="7" max="7" width="18.140625" style="525" customWidth="1"/>
    <col min="8" max="8" width="17.140625" style="525" customWidth="1"/>
    <col min="9" max="9" width="12" style="525" bestFit="1" customWidth="1"/>
    <col min="10" max="10" width="21.7109375" style="525" bestFit="1" customWidth="1"/>
    <col min="11" max="11" width="81.42578125" style="525" bestFit="1" customWidth="1"/>
    <col min="12" max="12" width="11.85546875" style="525" bestFit="1" customWidth="1"/>
    <col min="13" max="16384" width="9.140625" style="525"/>
  </cols>
  <sheetData>
    <row r="1" spans="1:25" s="8" customFormat="1" x14ac:dyDescent="0.25">
      <c r="B1" s="523" t="s">
        <v>0</v>
      </c>
      <c r="C1" s="523" t="s">
        <v>1</v>
      </c>
      <c r="D1" s="523"/>
      <c r="E1" s="523" t="s">
        <v>29</v>
      </c>
      <c r="F1" s="523" t="s">
        <v>20</v>
      </c>
      <c r="G1" s="523" t="s">
        <v>83</v>
      </c>
      <c r="H1" s="523" t="s">
        <v>21</v>
      </c>
      <c r="I1" s="523" t="s">
        <v>45</v>
      </c>
      <c r="J1" s="523" t="s">
        <v>84</v>
      </c>
      <c r="K1" s="523"/>
      <c r="L1" s="523" t="s">
        <v>316</v>
      </c>
      <c r="M1" s="523"/>
      <c r="N1" s="523"/>
      <c r="O1" s="523"/>
      <c r="P1" s="523"/>
      <c r="Q1" s="523"/>
      <c r="R1" s="523"/>
      <c r="S1" s="523"/>
      <c r="T1" s="523"/>
      <c r="U1" s="523"/>
      <c r="V1" s="523"/>
      <c r="W1" s="523"/>
      <c r="X1" s="523"/>
      <c r="Y1" s="523"/>
    </row>
    <row r="2" spans="1:25" x14ac:dyDescent="0.25">
      <c r="A2" s="643" t="s">
        <v>28</v>
      </c>
      <c r="B2" s="524">
        <v>0</v>
      </c>
      <c r="C2" s="524" t="s">
        <v>121</v>
      </c>
      <c r="D2" s="524" t="s">
        <v>82</v>
      </c>
      <c r="E2" s="524" t="s">
        <v>77</v>
      </c>
      <c r="F2" s="524" t="s">
        <v>373</v>
      </c>
      <c r="G2" s="524" t="s">
        <v>353</v>
      </c>
      <c r="H2" s="524" t="s">
        <v>38</v>
      </c>
      <c r="I2" s="524" t="s">
        <v>382</v>
      </c>
      <c r="J2" s="524" t="s">
        <v>338</v>
      </c>
      <c r="K2" s="524" t="s">
        <v>345</v>
      </c>
      <c r="L2" s="524" t="s">
        <v>322</v>
      </c>
    </row>
    <row r="3" spans="1:25" x14ac:dyDescent="0.25">
      <c r="A3" s="644"/>
      <c r="B3" s="524">
        <v>2</v>
      </c>
      <c r="C3" s="524" t="s">
        <v>122</v>
      </c>
      <c r="D3" s="524" t="s">
        <v>82</v>
      </c>
      <c r="E3" s="524" t="s">
        <v>78</v>
      </c>
      <c r="F3" s="524" t="s">
        <v>373</v>
      </c>
      <c r="G3" s="524" t="s">
        <v>353</v>
      </c>
      <c r="H3" s="524" t="s">
        <v>38</v>
      </c>
      <c r="I3" s="524" t="s">
        <v>382</v>
      </c>
      <c r="J3" s="524" t="s">
        <v>338</v>
      </c>
      <c r="K3" s="524" t="s">
        <v>345</v>
      </c>
      <c r="L3" s="524" t="s">
        <v>323</v>
      </c>
    </row>
    <row r="4" spans="1:25" x14ac:dyDescent="0.25">
      <c r="A4" s="644"/>
      <c r="B4" s="524">
        <v>3</v>
      </c>
      <c r="C4" s="524" t="s">
        <v>123</v>
      </c>
      <c r="D4" s="524" t="s">
        <v>82</v>
      </c>
      <c r="E4" s="524" t="s">
        <v>79</v>
      </c>
      <c r="F4" s="524" t="s">
        <v>373</v>
      </c>
      <c r="G4" s="524" t="s">
        <v>353</v>
      </c>
      <c r="H4" s="524" t="s">
        <v>38</v>
      </c>
      <c r="I4" s="524" t="s">
        <v>382</v>
      </c>
      <c r="J4" s="524" t="s">
        <v>338</v>
      </c>
      <c r="K4" s="524" t="s">
        <v>345</v>
      </c>
      <c r="L4" s="524" t="s">
        <v>323</v>
      </c>
    </row>
    <row r="5" spans="1:25" x14ac:dyDescent="0.25">
      <c r="A5" s="644"/>
      <c r="B5" s="524">
        <v>4</v>
      </c>
      <c r="C5" s="524" t="s">
        <v>124</v>
      </c>
      <c r="D5" s="524" t="s">
        <v>82</v>
      </c>
      <c r="E5" s="524" t="s">
        <v>80</v>
      </c>
      <c r="F5" s="524" t="s">
        <v>373</v>
      </c>
      <c r="G5" s="524" t="s">
        <v>353</v>
      </c>
      <c r="H5" s="524" t="s">
        <v>38</v>
      </c>
      <c r="I5" s="524" t="s">
        <v>382</v>
      </c>
      <c r="J5" s="524" t="s">
        <v>338</v>
      </c>
      <c r="K5" s="524" t="s">
        <v>345</v>
      </c>
      <c r="L5" s="524" t="s">
        <v>322</v>
      </c>
    </row>
    <row r="6" spans="1:25" x14ac:dyDescent="0.25">
      <c r="A6" s="644"/>
      <c r="B6" s="524">
        <v>5</v>
      </c>
      <c r="C6" s="524" t="s">
        <v>125</v>
      </c>
      <c r="D6" s="524" t="s">
        <v>82</v>
      </c>
      <c r="E6" s="524" t="s">
        <v>81</v>
      </c>
      <c r="F6" s="524" t="s">
        <v>373</v>
      </c>
      <c r="G6" s="524" t="s">
        <v>353</v>
      </c>
      <c r="H6" s="524" t="s">
        <v>38</v>
      </c>
      <c r="I6" s="524" t="s">
        <v>382</v>
      </c>
      <c r="J6" s="524" t="s">
        <v>338</v>
      </c>
      <c r="K6" s="524" t="s">
        <v>345</v>
      </c>
      <c r="L6" s="524" t="s">
        <v>322</v>
      </c>
    </row>
    <row r="7" spans="1:25" x14ac:dyDescent="0.25">
      <c r="A7" s="644"/>
      <c r="B7" s="524">
        <v>6</v>
      </c>
      <c r="C7" s="524" t="s">
        <v>126</v>
      </c>
      <c r="D7" s="524" t="s">
        <v>82</v>
      </c>
      <c r="E7" s="524" t="s">
        <v>77</v>
      </c>
      <c r="F7" s="524" t="s">
        <v>373</v>
      </c>
      <c r="G7" s="524" t="s">
        <v>353</v>
      </c>
      <c r="H7" s="524" t="s">
        <v>38</v>
      </c>
      <c r="I7" s="524" t="s">
        <v>382</v>
      </c>
      <c r="J7" s="524" t="s">
        <v>338</v>
      </c>
      <c r="K7" s="524" t="s">
        <v>345</v>
      </c>
      <c r="L7" s="524" t="s">
        <v>323</v>
      </c>
    </row>
    <row r="8" spans="1:25" x14ac:dyDescent="0.25">
      <c r="A8" s="644"/>
      <c r="B8" s="524">
        <v>7</v>
      </c>
      <c r="C8" s="526" t="s">
        <v>127</v>
      </c>
      <c r="D8" s="524" t="s">
        <v>82</v>
      </c>
      <c r="E8" s="524" t="s">
        <v>77</v>
      </c>
      <c r="F8" s="524" t="s">
        <v>373</v>
      </c>
      <c r="G8" s="524" t="s">
        <v>353</v>
      </c>
      <c r="H8" s="524" t="s">
        <v>38</v>
      </c>
      <c r="I8" s="524" t="s">
        <v>382</v>
      </c>
      <c r="J8" s="524" t="s">
        <v>338</v>
      </c>
      <c r="K8" s="524" t="s">
        <v>345</v>
      </c>
      <c r="L8" s="524" t="s">
        <v>322</v>
      </c>
    </row>
    <row r="9" spans="1:25" x14ac:dyDescent="0.25">
      <c r="A9" s="644"/>
      <c r="B9" s="524">
        <v>8</v>
      </c>
      <c r="C9" s="524" t="s">
        <v>128</v>
      </c>
      <c r="D9" s="524" t="s">
        <v>82</v>
      </c>
      <c r="E9" s="524" t="s">
        <v>361</v>
      </c>
      <c r="F9" s="524" t="s">
        <v>67</v>
      </c>
      <c r="G9" s="524" t="s">
        <v>353</v>
      </c>
      <c r="H9" s="524" t="s">
        <v>38</v>
      </c>
      <c r="I9" s="524" t="s">
        <v>382</v>
      </c>
      <c r="J9" s="524" t="s">
        <v>338</v>
      </c>
      <c r="K9" s="524" t="s">
        <v>345</v>
      </c>
      <c r="L9" s="524" t="s">
        <v>320</v>
      </c>
    </row>
    <row r="10" spans="1:25" x14ac:dyDescent="0.25">
      <c r="A10" s="644"/>
      <c r="B10" s="524">
        <v>9</v>
      </c>
      <c r="C10" s="524" t="s">
        <v>129</v>
      </c>
      <c r="D10" s="524" t="s">
        <v>82</v>
      </c>
      <c r="E10" s="524" t="s">
        <v>34</v>
      </c>
      <c r="F10" s="524" t="s">
        <v>67</v>
      </c>
      <c r="G10" s="524" t="s">
        <v>353</v>
      </c>
      <c r="H10" s="524" t="s">
        <v>38</v>
      </c>
      <c r="I10" s="524" t="s">
        <v>382</v>
      </c>
      <c r="J10" s="524" t="s">
        <v>338</v>
      </c>
      <c r="K10" s="524" t="s">
        <v>345</v>
      </c>
      <c r="L10" s="524" t="s">
        <v>318</v>
      </c>
    </row>
    <row r="11" spans="1:25" x14ac:dyDescent="0.25">
      <c r="A11" s="644"/>
      <c r="B11" s="524">
        <v>10</v>
      </c>
      <c r="C11" s="524" t="s">
        <v>130</v>
      </c>
      <c r="D11" s="524" t="s">
        <v>82</v>
      </c>
      <c r="E11" s="524" t="s">
        <v>35</v>
      </c>
      <c r="F11" s="524" t="s">
        <v>67</v>
      </c>
      <c r="G11" s="524" t="s">
        <v>354</v>
      </c>
      <c r="H11" s="524" t="s">
        <v>38</v>
      </c>
      <c r="I11" s="524" t="s">
        <v>382</v>
      </c>
      <c r="J11" s="524" t="s">
        <v>338</v>
      </c>
      <c r="K11" s="524" t="s">
        <v>345</v>
      </c>
      <c r="L11" s="524" t="s">
        <v>322</v>
      </c>
    </row>
    <row r="12" spans="1:25" x14ac:dyDescent="0.25">
      <c r="A12" s="644"/>
      <c r="B12" s="524">
        <v>11</v>
      </c>
      <c r="C12" s="524" t="s">
        <v>131</v>
      </c>
      <c r="D12" s="524" t="s">
        <v>82</v>
      </c>
      <c r="E12" s="524" t="s">
        <v>36</v>
      </c>
      <c r="F12" s="524" t="s">
        <v>67</v>
      </c>
      <c r="G12" s="524" t="s">
        <v>353</v>
      </c>
      <c r="H12" s="524" t="s">
        <v>38</v>
      </c>
      <c r="I12" s="524" t="s">
        <v>382</v>
      </c>
      <c r="J12" s="524" t="s">
        <v>338</v>
      </c>
      <c r="K12" s="524" t="s">
        <v>345</v>
      </c>
      <c r="L12" s="524" t="s">
        <v>322</v>
      </c>
    </row>
    <row r="13" spans="1:25" x14ac:dyDescent="0.25">
      <c r="A13" s="644"/>
      <c r="B13" s="524">
        <v>12</v>
      </c>
      <c r="C13" s="524" t="s">
        <v>132</v>
      </c>
      <c r="D13" s="524" t="s">
        <v>82</v>
      </c>
      <c r="E13" s="524" t="s">
        <v>362</v>
      </c>
      <c r="F13" s="524" t="s">
        <v>67</v>
      </c>
      <c r="G13" s="524" t="s">
        <v>355</v>
      </c>
      <c r="H13" s="524" t="s">
        <v>38</v>
      </c>
      <c r="I13" s="524" t="s">
        <v>382</v>
      </c>
      <c r="J13" s="524" t="s">
        <v>338</v>
      </c>
      <c r="K13" s="524" t="s">
        <v>345</v>
      </c>
      <c r="L13" s="524" t="s">
        <v>323</v>
      </c>
    </row>
    <row r="14" spans="1:25" x14ac:dyDescent="0.25">
      <c r="A14" s="644"/>
      <c r="B14" s="524">
        <v>13</v>
      </c>
      <c r="C14" s="524" t="s">
        <v>133</v>
      </c>
      <c r="D14" s="524" t="s">
        <v>82</v>
      </c>
      <c r="E14" s="524" t="s">
        <v>37</v>
      </c>
      <c r="F14" s="524" t="s">
        <v>67</v>
      </c>
      <c r="G14" s="524" t="s">
        <v>353</v>
      </c>
      <c r="H14" s="524" t="s">
        <v>38</v>
      </c>
      <c r="I14" s="524" t="s">
        <v>382</v>
      </c>
      <c r="J14" s="524" t="s">
        <v>338</v>
      </c>
      <c r="K14" s="524" t="s">
        <v>345</v>
      </c>
      <c r="L14" s="524" t="s">
        <v>322</v>
      </c>
    </row>
    <row r="15" spans="1:25" x14ac:dyDescent="0.25">
      <c r="A15" s="644"/>
      <c r="B15" s="524">
        <v>14</v>
      </c>
      <c r="C15" s="524" t="s">
        <v>134</v>
      </c>
      <c r="D15" s="524" t="s">
        <v>82</v>
      </c>
      <c r="E15" s="524" t="s">
        <v>363</v>
      </c>
      <c r="F15" s="524" t="s">
        <v>67</v>
      </c>
      <c r="G15" s="524" t="s">
        <v>353</v>
      </c>
      <c r="H15" s="524" t="s">
        <v>38</v>
      </c>
      <c r="I15" s="524" t="s">
        <v>382</v>
      </c>
      <c r="J15" s="524" t="s">
        <v>338</v>
      </c>
      <c r="K15" s="524" t="s">
        <v>345</v>
      </c>
      <c r="L15" s="524" t="s">
        <v>323</v>
      </c>
    </row>
    <row r="16" spans="1:25" x14ac:dyDescent="0.25">
      <c r="A16" s="644"/>
      <c r="B16" s="524">
        <v>15</v>
      </c>
      <c r="C16" s="524" t="s">
        <v>135</v>
      </c>
      <c r="D16" s="524" t="s">
        <v>82</v>
      </c>
      <c r="E16" s="524" t="s">
        <v>364</v>
      </c>
      <c r="F16" s="524" t="s">
        <v>373</v>
      </c>
      <c r="G16" s="524" t="s">
        <v>353</v>
      </c>
      <c r="H16" s="524" t="s">
        <v>38</v>
      </c>
      <c r="I16" s="524" t="s">
        <v>382</v>
      </c>
      <c r="J16" s="524" t="s">
        <v>338</v>
      </c>
      <c r="K16" s="524" t="s">
        <v>345</v>
      </c>
      <c r="L16" s="524" t="s">
        <v>317</v>
      </c>
    </row>
    <row r="17" spans="1:14" x14ac:dyDescent="0.25">
      <c r="A17" s="644"/>
      <c r="B17" s="524"/>
      <c r="C17" s="524"/>
      <c r="D17" s="524"/>
      <c r="E17" s="524" t="s">
        <v>365</v>
      </c>
      <c r="F17" s="524" t="s">
        <v>365</v>
      </c>
      <c r="G17" s="524"/>
      <c r="H17" s="524"/>
      <c r="I17" s="524"/>
      <c r="J17" s="524"/>
      <c r="K17" s="524" t="s">
        <v>365</v>
      </c>
      <c r="L17" s="524"/>
    </row>
    <row r="18" spans="1:14" x14ac:dyDescent="0.25">
      <c r="A18" s="645"/>
      <c r="B18" s="524"/>
      <c r="C18" s="524"/>
      <c r="D18" s="524"/>
      <c r="E18" s="524" t="s">
        <v>365</v>
      </c>
      <c r="F18" s="524" t="s">
        <v>365</v>
      </c>
      <c r="G18" s="524"/>
      <c r="H18" s="524"/>
      <c r="I18" s="524"/>
      <c r="J18" s="524"/>
      <c r="K18" s="524" t="s">
        <v>365</v>
      </c>
      <c r="L18" s="524"/>
      <c r="N18" s="525" t="s">
        <v>50</v>
      </c>
    </row>
    <row r="19" spans="1:14" x14ac:dyDescent="0.25">
      <c r="A19" s="642" t="s">
        <v>32</v>
      </c>
      <c r="B19" s="524">
        <v>1</v>
      </c>
      <c r="C19" s="524" t="s">
        <v>138</v>
      </c>
      <c r="D19" s="524"/>
      <c r="E19" s="524" t="s">
        <v>366</v>
      </c>
      <c r="F19" s="524" t="s">
        <v>374</v>
      </c>
      <c r="G19" s="524" t="s">
        <v>355</v>
      </c>
      <c r="H19" s="524" t="s">
        <v>120</v>
      </c>
      <c r="I19" s="524" t="s">
        <v>382</v>
      </c>
      <c r="J19" s="524" t="s">
        <v>342</v>
      </c>
      <c r="K19" s="524" t="s">
        <v>349</v>
      </c>
      <c r="L19" s="524"/>
    </row>
    <row r="20" spans="1:14" x14ac:dyDescent="0.25">
      <c r="A20" s="642"/>
      <c r="B20" s="524">
        <v>2</v>
      </c>
      <c r="C20" s="524" t="s">
        <v>139</v>
      </c>
      <c r="D20" s="524"/>
      <c r="E20" s="524" t="s">
        <v>367</v>
      </c>
      <c r="F20" s="524" t="s">
        <v>375</v>
      </c>
      <c r="G20" s="524" t="s">
        <v>356</v>
      </c>
      <c r="H20" s="524" t="s">
        <v>38</v>
      </c>
      <c r="I20" s="524" t="s">
        <v>382</v>
      </c>
      <c r="J20" s="524" t="s">
        <v>340</v>
      </c>
      <c r="K20" s="524" t="s">
        <v>347</v>
      </c>
      <c r="L20" s="524"/>
    </row>
    <row r="21" spans="1:14" x14ac:dyDescent="0.25">
      <c r="A21" s="642"/>
      <c r="B21" s="524">
        <v>3</v>
      </c>
      <c r="C21" s="524" t="s">
        <v>136</v>
      </c>
      <c r="D21" s="524"/>
      <c r="E21" s="524" t="s">
        <v>368</v>
      </c>
      <c r="F21" s="524" t="s">
        <v>376</v>
      </c>
      <c r="G21" s="524" t="s">
        <v>357</v>
      </c>
      <c r="H21" s="524" t="s">
        <v>38</v>
      </c>
      <c r="I21" s="524" t="s">
        <v>382</v>
      </c>
      <c r="J21" s="524" t="s">
        <v>341</v>
      </c>
      <c r="K21" s="524" t="s">
        <v>173</v>
      </c>
      <c r="L21" s="524"/>
    </row>
    <row r="22" spans="1:14" x14ac:dyDescent="0.25">
      <c r="A22" s="642"/>
      <c r="B22" s="524">
        <v>4</v>
      </c>
      <c r="C22" s="524" t="s">
        <v>104</v>
      </c>
      <c r="D22" s="524"/>
      <c r="E22" s="524" t="s">
        <v>369</v>
      </c>
      <c r="F22" s="524" t="s">
        <v>377</v>
      </c>
      <c r="G22" s="524" t="s">
        <v>355</v>
      </c>
      <c r="H22" s="524" t="s">
        <v>105</v>
      </c>
      <c r="I22" s="524" t="s">
        <v>383</v>
      </c>
      <c r="J22" s="524" t="s">
        <v>338</v>
      </c>
      <c r="K22" s="524" t="s">
        <v>348</v>
      </c>
      <c r="L22" s="524"/>
    </row>
    <row r="23" spans="1:14" x14ac:dyDescent="0.25">
      <c r="A23" s="642"/>
      <c r="B23" s="524">
        <v>5</v>
      </c>
      <c r="C23" s="524" t="s">
        <v>137</v>
      </c>
      <c r="D23" s="524"/>
      <c r="E23" s="524" t="s">
        <v>370</v>
      </c>
      <c r="F23" s="524" t="s">
        <v>378</v>
      </c>
      <c r="G23" s="524" t="s">
        <v>358</v>
      </c>
      <c r="H23" s="524" t="s">
        <v>105</v>
      </c>
      <c r="I23" s="524" t="s">
        <v>382</v>
      </c>
      <c r="J23" s="524" t="s">
        <v>339</v>
      </c>
      <c r="K23" s="524" t="s">
        <v>346</v>
      </c>
      <c r="L23" s="524"/>
    </row>
    <row r="24" spans="1:14" x14ac:dyDescent="0.25">
      <c r="A24" s="642"/>
      <c r="B24" s="524">
        <v>6</v>
      </c>
      <c r="C24" s="524" t="s">
        <v>147</v>
      </c>
      <c r="D24" s="524"/>
      <c r="E24" s="524" t="s">
        <v>147</v>
      </c>
      <c r="F24" s="524" t="s">
        <v>379</v>
      </c>
      <c r="G24" s="524" t="s">
        <v>355</v>
      </c>
      <c r="H24" s="524" t="s">
        <v>105</v>
      </c>
      <c r="I24" s="524" t="s">
        <v>382</v>
      </c>
      <c r="J24" s="524" t="s">
        <v>338</v>
      </c>
      <c r="K24" s="524" t="s">
        <v>350</v>
      </c>
      <c r="L24" s="524"/>
    </row>
    <row r="25" spans="1:14" x14ac:dyDescent="0.25">
      <c r="A25" s="642"/>
      <c r="B25" s="524">
        <v>7</v>
      </c>
      <c r="C25" s="524" t="s">
        <v>192</v>
      </c>
      <c r="D25" s="524"/>
      <c r="E25" s="524" t="s">
        <v>371</v>
      </c>
      <c r="F25" s="524" t="s">
        <v>380</v>
      </c>
      <c r="G25" s="524" t="s">
        <v>359</v>
      </c>
      <c r="H25" s="524" t="s">
        <v>105</v>
      </c>
      <c r="I25" s="524" t="s">
        <v>382</v>
      </c>
      <c r="J25" s="524" t="s">
        <v>343</v>
      </c>
      <c r="K25" s="524" t="s">
        <v>351</v>
      </c>
      <c r="L25" s="524"/>
    </row>
    <row r="26" spans="1:14" x14ac:dyDescent="0.25">
      <c r="A26" s="642"/>
      <c r="B26" s="524">
        <v>7</v>
      </c>
      <c r="C26" s="524" t="s">
        <v>331</v>
      </c>
      <c r="D26" s="524"/>
      <c r="E26" s="524" t="s">
        <v>372</v>
      </c>
      <c r="F26" s="524" t="s">
        <v>381</v>
      </c>
      <c r="G26" s="524" t="s">
        <v>360</v>
      </c>
      <c r="H26" s="524" t="s">
        <v>105</v>
      </c>
      <c r="I26" s="524" t="s">
        <v>382</v>
      </c>
      <c r="J26" s="524" t="s">
        <v>344</v>
      </c>
      <c r="K26" s="524" t="s">
        <v>352</v>
      </c>
      <c r="L26" s="524"/>
    </row>
    <row r="27" spans="1:14" s="528" customFormat="1" x14ac:dyDescent="0.25">
      <c r="A27" s="642"/>
      <c r="B27" s="527">
        <v>8</v>
      </c>
      <c r="C27" s="527"/>
      <c r="D27" s="527"/>
      <c r="E27" s="527"/>
      <c r="F27" s="527"/>
      <c r="G27" s="527"/>
      <c r="H27" s="527"/>
      <c r="I27" s="527"/>
      <c r="J27" s="527"/>
      <c r="K27" s="527"/>
      <c r="L27" s="527"/>
    </row>
    <row r="28" spans="1:14" x14ac:dyDescent="0.25">
      <c r="A28" s="642"/>
      <c r="B28" s="524"/>
      <c r="C28" s="524"/>
      <c r="D28" s="524"/>
      <c r="E28" s="524"/>
      <c r="F28" s="524"/>
      <c r="G28" s="524"/>
      <c r="H28" s="524"/>
      <c r="I28" s="524"/>
      <c r="J28" s="524"/>
      <c r="K28" s="524"/>
      <c r="L28" s="524"/>
    </row>
  </sheetData>
  <mergeCells count="2">
    <mergeCell ref="A19:A28"/>
    <mergeCell ref="A2:A18"/>
  </mergeCell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2290" r:id="rId4" name="CommandButton2">
          <controlPr defaultSize="0" print="0" autoLine="0" r:id="rId5">
            <anchor moveWithCells="1">
              <from>
                <xdr:col>0</xdr:col>
                <xdr:colOff>57150</xdr:colOff>
                <xdr:row>1</xdr:row>
                <xdr:rowOff>104775</xdr:rowOff>
              </from>
              <to>
                <xdr:col>1</xdr:col>
                <xdr:colOff>104775</xdr:colOff>
                <xdr:row>2</xdr:row>
                <xdr:rowOff>161925</xdr:rowOff>
              </to>
            </anchor>
          </controlPr>
        </control>
      </mc:Choice>
      <mc:Fallback>
        <control shapeId="12290" r:id="rId4" name="CommandButton2"/>
      </mc:Fallback>
    </mc:AlternateContent>
    <mc:AlternateContent xmlns:mc="http://schemas.openxmlformats.org/markup-compatibility/2006">
      <mc:Choice Requires="x14">
        <control shapeId="12289" r:id="rId6" name="CommandButton1">
          <controlPr defaultSize="0" print="0" autoLine="0" r:id="rId7">
            <anchor moveWithCells="1">
              <from>
                <xdr:col>1</xdr:col>
                <xdr:colOff>133350</xdr:colOff>
                <xdr:row>1</xdr:row>
                <xdr:rowOff>104775</xdr:rowOff>
              </from>
              <to>
                <xdr:col>2</xdr:col>
                <xdr:colOff>133350</xdr:colOff>
                <xdr:row>2</xdr:row>
                <xdr:rowOff>161925</xdr:rowOff>
              </to>
            </anchor>
          </controlPr>
        </control>
      </mc:Choice>
      <mc:Fallback>
        <control shapeId="1228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C00000"/>
  </sheetPr>
  <dimension ref="A1:L443"/>
  <sheetViews>
    <sheetView topLeftCell="A396" zoomScale="115" zoomScaleNormal="115" workbookViewId="0">
      <selection activeCell="B2" sqref="B2:B443"/>
    </sheetView>
  </sheetViews>
  <sheetFormatPr defaultRowHeight="12.75" x14ac:dyDescent="0.2"/>
  <cols>
    <col min="1" max="1" width="19.140625" style="472" bestFit="1" customWidth="1"/>
    <col min="2" max="2" width="59.28515625" style="472" bestFit="1" customWidth="1"/>
    <col min="3" max="3" width="13.42578125" style="473" bestFit="1" customWidth="1"/>
    <col min="4" max="4" width="10.5703125" style="474" bestFit="1" customWidth="1"/>
    <col min="5" max="5" width="12.85546875" style="475" customWidth="1"/>
    <col min="6" max="6" width="26.7109375" style="476" customWidth="1"/>
    <col min="7" max="7" width="6.85546875" style="475" customWidth="1"/>
    <col min="8" max="8" width="5.5703125" style="475" customWidth="1"/>
    <col min="9" max="9" width="1.140625" style="475" customWidth="1"/>
    <col min="10" max="10" width="4.42578125" style="473" bestFit="1" customWidth="1"/>
    <col min="11" max="11" width="12" style="475" bestFit="1" customWidth="1"/>
    <col min="12" max="12" width="11" style="475" bestFit="1" customWidth="1"/>
    <col min="13" max="14" width="9.140625" style="477"/>
    <col min="15" max="15" width="25.42578125" style="477" customWidth="1"/>
    <col min="16" max="16" width="9" style="477" bestFit="1" customWidth="1"/>
    <col min="17" max="19" width="3" style="477" bestFit="1" customWidth="1"/>
    <col min="20" max="16384" width="9.140625" style="477"/>
  </cols>
  <sheetData>
    <row r="1" spans="1:12" x14ac:dyDescent="0.2">
      <c r="A1" s="472" t="s">
        <v>180</v>
      </c>
      <c r="B1" s="472" t="s">
        <v>181</v>
      </c>
      <c r="C1" s="473" t="s">
        <v>64</v>
      </c>
      <c r="D1" s="474" t="s">
        <v>177</v>
      </c>
      <c r="E1" s="475" t="s">
        <v>178</v>
      </c>
      <c r="F1" s="476" t="s">
        <v>182</v>
      </c>
      <c r="G1" s="475" t="s">
        <v>184</v>
      </c>
      <c r="H1" s="475" t="s">
        <v>186</v>
      </c>
      <c r="I1" s="475" t="s">
        <v>188</v>
      </c>
      <c r="J1" s="473" t="s">
        <v>4</v>
      </c>
      <c r="K1" s="475" t="s">
        <v>179</v>
      </c>
      <c r="L1" s="472" t="s">
        <v>189</v>
      </c>
    </row>
    <row r="2" spans="1:12" s="492" customFormat="1" x14ac:dyDescent="0.2">
      <c r="A2" s="487" t="s">
        <v>338</v>
      </c>
      <c r="B2" s="487" t="s">
        <v>345</v>
      </c>
      <c r="C2" s="488">
        <v>1601</v>
      </c>
      <c r="D2" s="489">
        <v>43047</v>
      </c>
      <c r="E2" s="490">
        <v>10817.6</v>
      </c>
      <c r="F2" s="491" t="s">
        <v>183</v>
      </c>
      <c r="G2" s="490" t="s">
        <v>185</v>
      </c>
      <c r="H2" s="490" t="s">
        <v>187</v>
      </c>
      <c r="I2" s="490"/>
      <c r="J2" s="488">
        <v>28</v>
      </c>
      <c r="K2" s="490">
        <v>4986.3600000000006</v>
      </c>
      <c r="L2" s="490"/>
    </row>
    <row r="3" spans="1:12" ht="14.25" customHeight="1" x14ac:dyDescent="0.2">
      <c r="A3" s="472" t="s">
        <v>338</v>
      </c>
      <c r="B3" s="472" t="s">
        <v>345</v>
      </c>
      <c r="C3" s="473">
        <v>1601</v>
      </c>
      <c r="D3" s="474">
        <v>43047</v>
      </c>
      <c r="E3" s="475">
        <v>10817.6</v>
      </c>
      <c r="F3" s="476" t="s">
        <v>183</v>
      </c>
      <c r="G3" s="475" t="s">
        <v>185</v>
      </c>
      <c r="H3" s="475" t="s">
        <v>187</v>
      </c>
      <c r="J3" s="473">
        <v>18</v>
      </c>
      <c r="K3" s="475">
        <v>3758.52</v>
      </c>
    </row>
    <row r="4" spans="1:12" x14ac:dyDescent="0.2">
      <c r="A4" s="472" t="s">
        <v>338</v>
      </c>
      <c r="B4" s="472" t="s">
        <v>345</v>
      </c>
      <c r="C4" s="473">
        <v>1602</v>
      </c>
      <c r="D4" s="474">
        <v>43048</v>
      </c>
      <c r="E4" s="475">
        <v>18420.599999999999</v>
      </c>
      <c r="F4" s="476" t="s">
        <v>183</v>
      </c>
      <c r="G4" s="475" t="s">
        <v>185</v>
      </c>
      <c r="H4" s="475" t="s">
        <v>187</v>
      </c>
      <c r="J4" s="473">
        <v>28</v>
      </c>
      <c r="K4" s="475">
        <v>12422.400000000001</v>
      </c>
    </row>
    <row r="5" spans="1:12" x14ac:dyDescent="0.2">
      <c r="A5" s="472" t="s">
        <v>338</v>
      </c>
      <c r="B5" s="472" t="s">
        <v>345</v>
      </c>
      <c r="C5" s="473">
        <v>1602</v>
      </c>
      <c r="D5" s="474">
        <v>43048</v>
      </c>
      <c r="E5" s="475">
        <v>18420.599999999999</v>
      </c>
      <c r="F5" s="476" t="s">
        <v>183</v>
      </c>
      <c r="G5" s="475" t="s">
        <v>185</v>
      </c>
      <c r="H5" s="475" t="s">
        <v>187</v>
      </c>
      <c r="J5" s="473">
        <v>18</v>
      </c>
      <c r="K5" s="475">
        <v>2135.52</v>
      </c>
    </row>
    <row r="6" spans="1:12" x14ac:dyDescent="0.2">
      <c r="A6" s="472" t="s">
        <v>338</v>
      </c>
      <c r="B6" s="472" t="s">
        <v>345</v>
      </c>
      <c r="C6" s="473">
        <v>1603</v>
      </c>
      <c r="D6" s="474">
        <v>43050</v>
      </c>
      <c r="E6" s="475">
        <v>7742.78</v>
      </c>
      <c r="F6" s="476" t="s">
        <v>183</v>
      </c>
      <c r="G6" s="475" t="s">
        <v>185</v>
      </c>
      <c r="H6" s="475" t="s">
        <v>187</v>
      </c>
      <c r="J6" s="473">
        <v>28</v>
      </c>
      <c r="K6" s="475">
        <v>4080.3599999999997</v>
      </c>
    </row>
    <row r="7" spans="1:12" x14ac:dyDescent="0.2">
      <c r="A7" s="472" t="s">
        <v>338</v>
      </c>
      <c r="B7" s="472" t="s">
        <v>345</v>
      </c>
      <c r="C7" s="473">
        <v>1603</v>
      </c>
      <c r="D7" s="474">
        <v>43050</v>
      </c>
      <c r="E7" s="475">
        <v>7742.78</v>
      </c>
      <c r="F7" s="476" t="s">
        <v>183</v>
      </c>
      <c r="G7" s="475" t="s">
        <v>185</v>
      </c>
      <c r="H7" s="475" t="s">
        <v>187</v>
      </c>
      <c r="J7" s="473">
        <v>18</v>
      </c>
      <c r="K7" s="475">
        <v>2135.52</v>
      </c>
    </row>
    <row r="8" spans="1:12" x14ac:dyDescent="0.2">
      <c r="A8" s="472" t="s">
        <v>338</v>
      </c>
      <c r="B8" s="472" t="s">
        <v>345</v>
      </c>
      <c r="C8" s="473">
        <v>1604</v>
      </c>
      <c r="D8" s="474">
        <v>43050</v>
      </c>
      <c r="E8" s="475">
        <v>8613.82</v>
      </c>
      <c r="F8" s="476" t="s">
        <v>183</v>
      </c>
      <c r="G8" s="475" t="s">
        <v>185</v>
      </c>
      <c r="H8" s="475" t="s">
        <v>187</v>
      </c>
      <c r="J8" s="473">
        <v>18</v>
      </c>
      <c r="K8" s="475">
        <v>7299.84</v>
      </c>
    </row>
    <row r="9" spans="1:12" x14ac:dyDescent="0.2">
      <c r="A9" s="472" t="s">
        <v>338</v>
      </c>
      <c r="B9" s="472" t="s">
        <v>345</v>
      </c>
      <c r="C9" s="473">
        <v>1605</v>
      </c>
      <c r="D9" s="474">
        <v>43052</v>
      </c>
      <c r="E9" s="475">
        <v>7381.32</v>
      </c>
      <c r="F9" s="476" t="s">
        <v>183</v>
      </c>
      <c r="G9" s="475" t="s">
        <v>185</v>
      </c>
      <c r="H9" s="475" t="s">
        <v>187</v>
      </c>
      <c r="J9" s="473">
        <v>18</v>
      </c>
      <c r="K9" s="475">
        <v>6255.36</v>
      </c>
    </row>
    <row r="10" spans="1:12" x14ac:dyDescent="0.2">
      <c r="A10" s="472" t="s">
        <v>338</v>
      </c>
      <c r="B10" s="472" t="s">
        <v>345</v>
      </c>
      <c r="C10" s="473">
        <v>1606</v>
      </c>
      <c r="D10" s="474">
        <v>43052</v>
      </c>
      <c r="E10" s="475">
        <v>10563.08</v>
      </c>
      <c r="F10" s="476" t="s">
        <v>183</v>
      </c>
      <c r="G10" s="475" t="s">
        <v>185</v>
      </c>
      <c r="H10" s="475" t="s">
        <v>187</v>
      </c>
      <c r="J10" s="473">
        <v>18</v>
      </c>
      <c r="K10" s="475">
        <v>8951.76</v>
      </c>
    </row>
    <row r="11" spans="1:12" x14ac:dyDescent="0.2">
      <c r="A11" s="472" t="s">
        <v>338</v>
      </c>
      <c r="B11" s="472" t="s">
        <v>345</v>
      </c>
      <c r="C11" s="473">
        <v>1607</v>
      </c>
      <c r="D11" s="474">
        <v>43052</v>
      </c>
      <c r="E11" s="475">
        <v>10255.24</v>
      </c>
      <c r="F11" s="476" t="s">
        <v>183</v>
      </c>
      <c r="G11" s="475" t="s">
        <v>185</v>
      </c>
      <c r="H11" s="475" t="s">
        <v>187</v>
      </c>
      <c r="J11" s="473">
        <v>18</v>
      </c>
      <c r="K11" s="475">
        <v>8690.8799999999992</v>
      </c>
    </row>
    <row r="12" spans="1:12" x14ac:dyDescent="0.2">
      <c r="A12" s="472" t="s">
        <v>339</v>
      </c>
      <c r="B12" s="472" t="s">
        <v>346</v>
      </c>
      <c r="C12" s="473">
        <v>1608</v>
      </c>
      <c r="D12" s="474">
        <v>43054</v>
      </c>
      <c r="E12" s="475">
        <v>1680.5200000000002</v>
      </c>
      <c r="F12" s="476" t="s">
        <v>183</v>
      </c>
      <c r="G12" s="475" t="s">
        <v>185</v>
      </c>
      <c r="H12" s="475" t="s">
        <v>187</v>
      </c>
      <c r="J12" s="473">
        <v>18</v>
      </c>
      <c r="K12" s="475">
        <v>1424.16</v>
      </c>
    </row>
    <row r="13" spans="1:12" x14ac:dyDescent="0.2">
      <c r="A13" s="472" t="s">
        <v>338</v>
      </c>
      <c r="B13" s="472" t="s">
        <v>345</v>
      </c>
      <c r="C13" s="473">
        <v>1609</v>
      </c>
      <c r="D13" s="474">
        <v>43054</v>
      </c>
      <c r="E13" s="475">
        <v>7952.9800000000005</v>
      </c>
      <c r="F13" s="476" t="s">
        <v>183</v>
      </c>
      <c r="G13" s="475" t="s">
        <v>185</v>
      </c>
      <c r="H13" s="475" t="s">
        <v>187</v>
      </c>
      <c r="J13" s="473">
        <v>18</v>
      </c>
      <c r="K13" s="475">
        <v>6739.8</v>
      </c>
    </row>
    <row r="14" spans="1:12" x14ac:dyDescent="0.2">
      <c r="A14" s="472" t="s">
        <v>338</v>
      </c>
      <c r="B14" s="472" t="s">
        <v>345</v>
      </c>
      <c r="C14" s="473">
        <v>1610</v>
      </c>
      <c r="D14" s="474">
        <v>43055</v>
      </c>
      <c r="E14" s="475">
        <v>5288.24</v>
      </c>
      <c r="F14" s="476" t="s">
        <v>183</v>
      </c>
      <c r="G14" s="475" t="s">
        <v>185</v>
      </c>
      <c r="H14" s="475" t="s">
        <v>187</v>
      </c>
      <c r="J14" s="473">
        <v>18</v>
      </c>
      <c r="K14" s="475">
        <v>3623.6500000000005</v>
      </c>
    </row>
    <row r="15" spans="1:12" x14ac:dyDescent="0.2">
      <c r="A15" s="472" t="s">
        <v>338</v>
      </c>
      <c r="B15" s="472" t="s">
        <v>345</v>
      </c>
      <c r="C15" s="473">
        <v>1610</v>
      </c>
      <c r="D15" s="474">
        <v>43055</v>
      </c>
      <c r="E15" s="475">
        <v>5288.24</v>
      </c>
      <c r="F15" s="476" t="s">
        <v>183</v>
      </c>
      <c r="G15" s="475" t="s">
        <v>185</v>
      </c>
      <c r="H15" s="475" t="s">
        <v>187</v>
      </c>
      <c r="J15" s="473">
        <v>12</v>
      </c>
      <c r="K15" s="475">
        <v>903.87</v>
      </c>
    </row>
    <row r="16" spans="1:12" x14ac:dyDescent="0.2">
      <c r="A16" s="472" t="s">
        <v>338</v>
      </c>
      <c r="B16" s="472" t="s">
        <v>345</v>
      </c>
      <c r="C16" s="473">
        <v>1611</v>
      </c>
      <c r="D16" s="474">
        <v>43055</v>
      </c>
      <c r="E16" s="475">
        <v>11939.89</v>
      </c>
      <c r="F16" s="476" t="s">
        <v>183</v>
      </c>
      <c r="G16" s="475" t="s">
        <v>185</v>
      </c>
      <c r="H16" s="475" t="s">
        <v>187</v>
      </c>
      <c r="J16" s="473">
        <v>18</v>
      </c>
      <c r="K16" s="475">
        <v>10118.549999999999</v>
      </c>
    </row>
    <row r="17" spans="1:12" x14ac:dyDescent="0.2">
      <c r="A17" s="472" t="s">
        <v>338</v>
      </c>
      <c r="B17" s="472" t="s">
        <v>345</v>
      </c>
      <c r="C17" s="473">
        <v>1612</v>
      </c>
      <c r="D17" s="474">
        <v>43055</v>
      </c>
      <c r="E17" s="475">
        <v>3971.4599999999996</v>
      </c>
      <c r="F17" s="476" t="s">
        <v>183</v>
      </c>
      <c r="G17" s="475" t="s">
        <v>185</v>
      </c>
      <c r="H17" s="475" t="s">
        <v>187</v>
      </c>
      <c r="J17" s="473">
        <v>18</v>
      </c>
      <c r="K17" s="475">
        <v>3365.64</v>
      </c>
    </row>
    <row r="18" spans="1:12" x14ac:dyDescent="0.2">
      <c r="A18" s="472" t="s">
        <v>338</v>
      </c>
      <c r="B18" s="472" t="s">
        <v>345</v>
      </c>
      <c r="C18" s="473">
        <v>1613</v>
      </c>
      <c r="D18" s="474">
        <v>43055</v>
      </c>
      <c r="E18" s="475">
        <v>3207.3900000000003</v>
      </c>
      <c r="F18" s="476" t="s">
        <v>183</v>
      </c>
      <c r="G18" s="475" t="s">
        <v>185</v>
      </c>
      <c r="H18" s="475" t="s">
        <v>187</v>
      </c>
      <c r="J18" s="473">
        <v>18</v>
      </c>
      <c r="K18" s="475">
        <v>2718.13</v>
      </c>
    </row>
    <row r="19" spans="1:12" x14ac:dyDescent="0.2">
      <c r="A19" s="472" t="s">
        <v>338</v>
      </c>
      <c r="B19" s="472" t="s">
        <v>345</v>
      </c>
      <c r="C19" s="473">
        <v>1614</v>
      </c>
      <c r="D19" s="474">
        <v>43060</v>
      </c>
      <c r="E19" s="475">
        <v>4495.24</v>
      </c>
      <c r="F19" s="476" t="s">
        <v>183</v>
      </c>
      <c r="G19" s="475" t="s">
        <v>185</v>
      </c>
      <c r="H19" s="475" t="s">
        <v>187</v>
      </c>
      <c r="J19" s="473">
        <v>18</v>
      </c>
      <c r="K19" s="475">
        <v>2717.54</v>
      </c>
    </row>
    <row r="20" spans="1:12" x14ac:dyDescent="0.2">
      <c r="A20" s="472" t="s">
        <v>338</v>
      </c>
      <c r="B20" s="472" t="s">
        <v>345</v>
      </c>
      <c r="C20" s="473">
        <v>1614</v>
      </c>
      <c r="D20" s="474">
        <v>43060</v>
      </c>
      <c r="E20" s="475">
        <v>4495.24</v>
      </c>
      <c r="F20" s="476" t="s">
        <v>183</v>
      </c>
      <c r="G20" s="475" t="s">
        <v>185</v>
      </c>
      <c r="H20" s="475" t="s">
        <v>187</v>
      </c>
      <c r="J20" s="473">
        <v>12</v>
      </c>
      <c r="K20" s="475">
        <v>1150.48</v>
      </c>
    </row>
    <row r="21" spans="1:12" x14ac:dyDescent="0.2">
      <c r="A21" s="472" t="s">
        <v>338</v>
      </c>
      <c r="B21" s="472" t="s">
        <v>345</v>
      </c>
      <c r="C21" s="473">
        <v>1615</v>
      </c>
      <c r="D21" s="474">
        <v>43060</v>
      </c>
      <c r="E21" s="475">
        <v>3265.8799999999997</v>
      </c>
      <c r="F21" s="476" t="s">
        <v>183</v>
      </c>
      <c r="G21" s="475" t="s">
        <v>185</v>
      </c>
      <c r="H21" s="475" t="s">
        <v>187</v>
      </c>
      <c r="J21" s="473">
        <v>18</v>
      </c>
      <c r="K21" s="475">
        <v>2767.68</v>
      </c>
    </row>
    <row r="22" spans="1:12" x14ac:dyDescent="0.2">
      <c r="A22" s="400" t="s">
        <v>340</v>
      </c>
      <c r="B22" s="472" t="s">
        <v>347</v>
      </c>
      <c r="C22" s="473">
        <v>1616</v>
      </c>
      <c r="D22" s="478">
        <v>43060</v>
      </c>
      <c r="E22" s="475">
        <v>7410.6100000000006</v>
      </c>
      <c r="F22" s="476" t="s">
        <v>183</v>
      </c>
      <c r="G22" s="475" t="s">
        <v>185</v>
      </c>
      <c r="H22" s="475" t="s">
        <v>187</v>
      </c>
      <c r="J22" s="473">
        <v>18</v>
      </c>
      <c r="K22" s="477">
        <v>6280.17</v>
      </c>
      <c r="L22" s="477"/>
    </row>
    <row r="23" spans="1:12" x14ac:dyDescent="0.2">
      <c r="A23" s="472" t="s">
        <v>338</v>
      </c>
      <c r="B23" s="472" t="s">
        <v>345</v>
      </c>
      <c r="C23" s="473">
        <v>1617</v>
      </c>
      <c r="D23" s="478">
        <v>43062</v>
      </c>
      <c r="E23" s="475">
        <v>14059.560000000001</v>
      </c>
      <c r="F23" s="476" t="s">
        <v>183</v>
      </c>
      <c r="G23" s="475" t="s">
        <v>185</v>
      </c>
      <c r="H23" s="475" t="s">
        <v>187</v>
      </c>
      <c r="J23" s="473">
        <v>18</v>
      </c>
      <c r="K23" s="477">
        <v>11914.86</v>
      </c>
      <c r="L23" s="477"/>
    </row>
    <row r="24" spans="1:12" x14ac:dyDescent="0.2">
      <c r="A24" s="472" t="s">
        <v>338</v>
      </c>
      <c r="B24" s="472" t="s">
        <v>345</v>
      </c>
      <c r="C24" s="473">
        <v>1618</v>
      </c>
      <c r="D24" s="478">
        <v>43062</v>
      </c>
      <c r="E24" s="475">
        <v>8307.1</v>
      </c>
      <c r="F24" s="476" t="s">
        <v>183</v>
      </c>
      <c r="G24" s="475" t="s">
        <v>185</v>
      </c>
      <c r="H24" s="475" t="s">
        <v>187</v>
      </c>
      <c r="J24" s="473">
        <v>18</v>
      </c>
      <c r="K24" s="477">
        <v>7039.92</v>
      </c>
      <c r="L24" s="477"/>
    </row>
    <row r="25" spans="1:12" x14ac:dyDescent="0.2">
      <c r="A25" s="477" t="s">
        <v>338</v>
      </c>
      <c r="B25" s="472" t="s">
        <v>348</v>
      </c>
      <c r="C25" s="473">
        <v>1619</v>
      </c>
      <c r="D25" s="478">
        <v>42759</v>
      </c>
      <c r="E25" s="475">
        <v>4363.6400000000003</v>
      </c>
      <c r="F25" s="476" t="s">
        <v>183</v>
      </c>
      <c r="G25" s="475" t="s">
        <v>185</v>
      </c>
      <c r="H25" s="475" t="s">
        <v>187</v>
      </c>
      <c r="J25" s="473">
        <v>18</v>
      </c>
      <c r="K25" s="477">
        <v>3698</v>
      </c>
      <c r="L25" s="477"/>
    </row>
    <row r="26" spans="1:12" x14ac:dyDescent="0.2">
      <c r="A26" s="472" t="s">
        <v>338</v>
      </c>
      <c r="B26" s="472" t="s">
        <v>345</v>
      </c>
      <c r="C26" s="473">
        <v>1620</v>
      </c>
      <c r="D26" s="478">
        <v>43066</v>
      </c>
      <c r="E26" s="475">
        <v>8673.7199999999993</v>
      </c>
      <c r="F26" s="476" t="s">
        <v>183</v>
      </c>
      <c r="G26" s="475" t="s">
        <v>185</v>
      </c>
      <c r="H26" s="475" t="s">
        <v>187</v>
      </c>
      <c r="J26" s="473">
        <v>18</v>
      </c>
      <c r="K26" s="477">
        <v>7350.6</v>
      </c>
      <c r="L26" s="477"/>
    </row>
    <row r="27" spans="1:12" x14ac:dyDescent="0.2">
      <c r="A27" s="472" t="s">
        <v>338</v>
      </c>
      <c r="B27" s="472" t="s">
        <v>345</v>
      </c>
      <c r="C27" s="473">
        <v>1621</v>
      </c>
      <c r="D27" s="478">
        <v>43067</v>
      </c>
      <c r="E27" s="475">
        <v>22615.93</v>
      </c>
      <c r="F27" s="476" t="s">
        <v>183</v>
      </c>
      <c r="G27" s="475" t="s">
        <v>185</v>
      </c>
      <c r="H27" s="475" t="s">
        <v>187</v>
      </c>
      <c r="J27" s="473">
        <v>18</v>
      </c>
      <c r="K27" s="477">
        <v>18645.989999999998</v>
      </c>
      <c r="L27" s="477"/>
    </row>
    <row r="28" spans="1:12" x14ac:dyDescent="0.2">
      <c r="A28" s="472" t="s">
        <v>338</v>
      </c>
      <c r="B28" s="472" t="s">
        <v>345</v>
      </c>
      <c r="C28" s="473">
        <v>1621</v>
      </c>
      <c r="D28" s="478">
        <v>43067</v>
      </c>
      <c r="E28" s="475">
        <v>22615.93</v>
      </c>
      <c r="F28" s="476" t="s">
        <v>183</v>
      </c>
      <c r="G28" s="475" t="s">
        <v>185</v>
      </c>
      <c r="H28" s="475" t="s">
        <v>187</v>
      </c>
      <c r="J28" s="473">
        <v>12</v>
      </c>
      <c r="K28" s="477">
        <v>547.9</v>
      </c>
      <c r="L28" s="477"/>
    </row>
    <row r="29" spans="1:12" x14ac:dyDescent="0.2">
      <c r="A29" s="472" t="s">
        <v>338</v>
      </c>
      <c r="B29" s="472" t="s">
        <v>345</v>
      </c>
      <c r="C29" s="473">
        <v>1622</v>
      </c>
      <c r="D29" s="478">
        <v>43067</v>
      </c>
      <c r="E29" s="475">
        <v>6509.55</v>
      </c>
      <c r="F29" s="476" t="s">
        <v>183</v>
      </c>
      <c r="G29" s="475" t="s">
        <v>185</v>
      </c>
      <c r="H29" s="475" t="s">
        <v>187</v>
      </c>
      <c r="J29" s="473">
        <v>18</v>
      </c>
      <c r="K29" s="477">
        <v>5516.55</v>
      </c>
      <c r="L29" s="477"/>
    </row>
    <row r="30" spans="1:12" x14ac:dyDescent="0.2">
      <c r="A30" s="472" t="s">
        <v>338</v>
      </c>
      <c r="B30" s="472" t="s">
        <v>345</v>
      </c>
      <c r="C30" s="473">
        <v>1623</v>
      </c>
      <c r="D30" s="478">
        <v>43067</v>
      </c>
      <c r="E30" s="475">
        <v>13623.029999999999</v>
      </c>
      <c r="F30" s="476" t="s">
        <v>183</v>
      </c>
      <c r="G30" s="475" t="s">
        <v>185</v>
      </c>
      <c r="H30" s="475" t="s">
        <v>187</v>
      </c>
      <c r="J30" s="473">
        <v>18</v>
      </c>
      <c r="K30" s="477">
        <v>11544.93</v>
      </c>
      <c r="L30" s="477"/>
    </row>
    <row r="31" spans="1:12" x14ac:dyDescent="0.2">
      <c r="A31" s="472" t="s">
        <v>338</v>
      </c>
      <c r="B31" s="472" t="s">
        <v>345</v>
      </c>
      <c r="C31" s="473">
        <v>1624</v>
      </c>
      <c r="D31" s="478">
        <v>43068</v>
      </c>
      <c r="E31" s="475">
        <v>12957.09</v>
      </c>
      <c r="F31" s="476" t="s">
        <v>183</v>
      </c>
      <c r="G31" s="475" t="s">
        <v>185</v>
      </c>
      <c r="H31" s="475" t="s">
        <v>187</v>
      </c>
      <c r="J31" s="473">
        <v>18</v>
      </c>
      <c r="K31" s="477">
        <v>10980.59</v>
      </c>
      <c r="L31" s="477"/>
    </row>
    <row r="32" spans="1:12" x14ac:dyDescent="0.2">
      <c r="A32" s="472" t="s">
        <v>338</v>
      </c>
      <c r="B32" s="472" t="s">
        <v>345</v>
      </c>
      <c r="C32" s="473">
        <v>1625</v>
      </c>
      <c r="D32" s="478">
        <v>43068</v>
      </c>
      <c r="E32" s="475">
        <v>22559.820000000003</v>
      </c>
      <c r="F32" s="476" t="s">
        <v>183</v>
      </c>
      <c r="G32" s="475" t="s">
        <v>185</v>
      </c>
      <c r="H32" s="475" t="s">
        <v>187</v>
      </c>
      <c r="J32" s="473">
        <v>18</v>
      </c>
      <c r="K32" s="477">
        <v>12776.400000000001</v>
      </c>
      <c r="L32" s="477"/>
    </row>
    <row r="33" spans="1:12" x14ac:dyDescent="0.2">
      <c r="A33" s="472" t="s">
        <v>338</v>
      </c>
      <c r="B33" s="472" t="s">
        <v>345</v>
      </c>
      <c r="C33" s="473">
        <v>1625</v>
      </c>
      <c r="D33" s="478">
        <v>43068</v>
      </c>
      <c r="E33" s="475">
        <v>22559.820000000003</v>
      </c>
      <c r="F33" s="476" t="s">
        <v>183</v>
      </c>
      <c r="G33" s="475" t="s">
        <v>185</v>
      </c>
      <c r="H33" s="475" t="s">
        <v>187</v>
      </c>
      <c r="J33" s="473">
        <v>12</v>
      </c>
      <c r="K33" s="477">
        <v>6681.84</v>
      </c>
      <c r="L33" s="477"/>
    </row>
    <row r="34" spans="1:12" x14ac:dyDescent="0.2">
      <c r="A34" s="472" t="s">
        <v>338</v>
      </c>
      <c r="B34" s="472" t="s">
        <v>345</v>
      </c>
      <c r="C34" s="473">
        <v>1626</v>
      </c>
      <c r="D34" s="478">
        <v>43069</v>
      </c>
      <c r="E34" s="475">
        <v>3955.64</v>
      </c>
      <c r="F34" s="476" t="s">
        <v>183</v>
      </c>
      <c r="G34" s="475" t="s">
        <v>185</v>
      </c>
      <c r="H34" s="475" t="s">
        <v>187</v>
      </c>
      <c r="J34" s="473">
        <v>12</v>
      </c>
      <c r="K34" s="477">
        <v>3531.82</v>
      </c>
      <c r="L34" s="477"/>
    </row>
    <row r="35" spans="1:12" x14ac:dyDescent="0.2">
      <c r="A35" s="472" t="s">
        <v>338</v>
      </c>
      <c r="B35" s="472" t="s">
        <v>345</v>
      </c>
      <c r="C35" s="473">
        <v>1627</v>
      </c>
      <c r="D35" s="478">
        <v>43069</v>
      </c>
      <c r="E35" s="475">
        <v>10197.289999999999</v>
      </c>
      <c r="F35" s="476" t="s">
        <v>183</v>
      </c>
      <c r="G35" s="475" t="s">
        <v>185</v>
      </c>
      <c r="H35" s="475" t="s">
        <v>187</v>
      </c>
      <c r="J35" s="473">
        <v>18</v>
      </c>
      <c r="K35" s="477">
        <v>7735.7599999999993</v>
      </c>
      <c r="L35" s="477"/>
    </row>
    <row r="36" spans="1:12" x14ac:dyDescent="0.2">
      <c r="A36" s="472" t="s">
        <v>338</v>
      </c>
      <c r="B36" s="472" t="s">
        <v>345</v>
      </c>
      <c r="C36" s="473">
        <v>1627</v>
      </c>
      <c r="D36" s="478">
        <v>43069</v>
      </c>
      <c r="E36" s="475">
        <v>10197.289999999999</v>
      </c>
      <c r="F36" s="476" t="s">
        <v>183</v>
      </c>
      <c r="G36" s="475" t="s">
        <v>185</v>
      </c>
      <c r="H36" s="475" t="s">
        <v>187</v>
      </c>
      <c r="J36" s="473">
        <v>12</v>
      </c>
      <c r="K36" s="477">
        <v>954.55</v>
      </c>
      <c r="L36" s="477"/>
    </row>
    <row r="37" spans="1:12" x14ac:dyDescent="0.2">
      <c r="A37" s="472" t="s">
        <v>338</v>
      </c>
      <c r="B37" s="472" t="s">
        <v>345</v>
      </c>
      <c r="C37" s="473">
        <v>1628</v>
      </c>
      <c r="D37" s="478">
        <v>43069</v>
      </c>
      <c r="E37" s="475">
        <v>9406.5999999999985</v>
      </c>
      <c r="F37" s="476" t="s">
        <v>183</v>
      </c>
      <c r="G37" s="475" t="s">
        <v>185</v>
      </c>
      <c r="H37" s="475" t="s">
        <v>187</v>
      </c>
      <c r="J37" s="473">
        <v>18</v>
      </c>
      <c r="K37" s="477">
        <v>5823.55</v>
      </c>
      <c r="L37" s="477"/>
    </row>
    <row r="38" spans="1:12" x14ac:dyDescent="0.2">
      <c r="A38" s="472" t="s">
        <v>338</v>
      </c>
      <c r="B38" s="472" t="s">
        <v>345</v>
      </c>
      <c r="C38" s="473">
        <v>1628</v>
      </c>
      <c r="D38" s="478">
        <v>43069</v>
      </c>
      <c r="E38" s="475">
        <v>9406.5999999999985</v>
      </c>
      <c r="F38" s="476" t="s">
        <v>183</v>
      </c>
      <c r="G38" s="475" t="s">
        <v>185</v>
      </c>
      <c r="H38" s="475" t="s">
        <v>187</v>
      </c>
      <c r="J38" s="473">
        <v>12</v>
      </c>
      <c r="K38" s="477">
        <v>1502.36</v>
      </c>
      <c r="L38" s="477"/>
    </row>
    <row r="39" spans="1:12" x14ac:dyDescent="0.2">
      <c r="A39" s="472" t="s">
        <v>338</v>
      </c>
      <c r="B39" s="472" t="s">
        <v>345</v>
      </c>
      <c r="C39" s="473">
        <v>1628</v>
      </c>
      <c r="D39" s="478">
        <v>43069</v>
      </c>
      <c r="E39" s="475">
        <v>9406.5999999999985</v>
      </c>
      <c r="F39" s="476" t="s">
        <v>183</v>
      </c>
      <c r="G39" s="475" t="s">
        <v>185</v>
      </c>
      <c r="H39" s="475" t="s">
        <v>187</v>
      </c>
      <c r="J39" s="473">
        <v>5</v>
      </c>
      <c r="K39" s="477">
        <v>811.59</v>
      </c>
      <c r="L39" s="477"/>
    </row>
    <row r="40" spans="1:12" x14ac:dyDescent="0.2">
      <c r="A40" s="472" t="s">
        <v>338</v>
      </c>
      <c r="B40" s="472" t="s">
        <v>345</v>
      </c>
      <c r="C40" s="473">
        <v>1629</v>
      </c>
      <c r="D40" s="478">
        <v>43069</v>
      </c>
      <c r="E40" s="475">
        <v>9495.3599999999988</v>
      </c>
      <c r="F40" s="476" t="s">
        <v>183</v>
      </c>
      <c r="G40" s="475" t="s">
        <v>185</v>
      </c>
      <c r="H40" s="475" t="s">
        <v>187</v>
      </c>
      <c r="J40" s="473">
        <v>18</v>
      </c>
      <c r="K40" s="477">
        <v>8046.92</v>
      </c>
      <c r="L40" s="477"/>
    </row>
    <row r="41" spans="1:12" x14ac:dyDescent="0.2">
      <c r="A41" s="472" t="s">
        <v>338</v>
      </c>
      <c r="B41" s="472" t="s">
        <v>345</v>
      </c>
      <c r="C41" s="473">
        <v>1630</v>
      </c>
      <c r="D41" s="478">
        <v>43070</v>
      </c>
      <c r="E41" s="475">
        <v>1360.8</v>
      </c>
      <c r="F41" s="476" t="s">
        <v>183</v>
      </c>
      <c r="G41" s="475" t="s">
        <v>185</v>
      </c>
      <c r="H41" s="475" t="s">
        <v>187</v>
      </c>
      <c r="J41" s="473">
        <v>18</v>
      </c>
      <c r="K41" s="477">
        <v>1153.22</v>
      </c>
      <c r="L41" s="477"/>
    </row>
    <row r="42" spans="1:12" x14ac:dyDescent="0.2">
      <c r="A42" s="472" t="s">
        <v>338</v>
      </c>
      <c r="B42" s="472" t="s">
        <v>345</v>
      </c>
      <c r="C42" s="473">
        <v>1631</v>
      </c>
      <c r="D42" s="478">
        <v>43071</v>
      </c>
      <c r="E42" s="475">
        <v>14832.72</v>
      </c>
      <c r="F42" s="476" t="s">
        <v>183</v>
      </c>
      <c r="G42" s="475" t="s">
        <v>185</v>
      </c>
      <c r="H42" s="475" t="s">
        <v>187</v>
      </c>
      <c r="J42" s="473">
        <v>18</v>
      </c>
      <c r="K42" s="477">
        <v>12570.1</v>
      </c>
      <c r="L42" s="477"/>
    </row>
    <row r="43" spans="1:12" x14ac:dyDescent="0.2">
      <c r="A43" s="472" t="s">
        <v>338</v>
      </c>
      <c r="B43" s="472" t="s">
        <v>345</v>
      </c>
      <c r="C43" s="473">
        <v>1632</v>
      </c>
      <c r="D43" s="478">
        <v>43071</v>
      </c>
      <c r="E43" s="475">
        <v>5891.76</v>
      </c>
      <c r="F43" s="476" t="s">
        <v>183</v>
      </c>
      <c r="G43" s="475" t="s">
        <v>185</v>
      </c>
      <c r="H43" s="475" t="s">
        <v>187</v>
      </c>
      <c r="J43" s="473">
        <v>18</v>
      </c>
      <c r="K43" s="477">
        <v>4993.0200000000004</v>
      </c>
      <c r="L43" s="477"/>
    </row>
    <row r="44" spans="1:12" x14ac:dyDescent="0.2">
      <c r="A44" s="472" t="s">
        <v>338</v>
      </c>
      <c r="B44" s="472" t="s">
        <v>345</v>
      </c>
      <c r="C44" s="473">
        <v>1633</v>
      </c>
      <c r="D44" s="478">
        <v>43072</v>
      </c>
      <c r="E44" s="475">
        <v>35846.76</v>
      </c>
      <c r="F44" s="476" t="s">
        <v>183</v>
      </c>
      <c r="G44" s="475" t="s">
        <v>185</v>
      </c>
      <c r="H44" s="475" t="s">
        <v>187</v>
      </c>
      <c r="J44" s="473">
        <v>18</v>
      </c>
      <c r="K44" s="477">
        <v>23902.639999999999</v>
      </c>
      <c r="L44" s="477"/>
    </row>
    <row r="45" spans="1:12" x14ac:dyDescent="0.2">
      <c r="A45" s="472" t="s">
        <v>338</v>
      </c>
      <c r="B45" s="472" t="s">
        <v>345</v>
      </c>
      <c r="C45" s="473">
        <v>1633</v>
      </c>
      <c r="D45" s="478">
        <v>43072</v>
      </c>
      <c r="E45" s="475">
        <v>35846.76</v>
      </c>
      <c r="F45" s="476" t="s">
        <v>183</v>
      </c>
      <c r="G45" s="475" t="s">
        <v>185</v>
      </c>
      <c r="H45" s="475" t="s">
        <v>187</v>
      </c>
      <c r="J45" s="473">
        <v>12</v>
      </c>
      <c r="K45" s="477">
        <v>6822.9</v>
      </c>
      <c r="L45" s="477"/>
    </row>
    <row r="46" spans="1:12" x14ac:dyDescent="0.2">
      <c r="A46" s="472" t="s">
        <v>338</v>
      </c>
      <c r="B46" s="472" t="s">
        <v>345</v>
      </c>
      <c r="C46" s="473">
        <v>1634</v>
      </c>
      <c r="D46" s="478">
        <v>43072</v>
      </c>
      <c r="E46" s="475">
        <v>20549.749999999996</v>
      </c>
      <c r="F46" s="476" t="s">
        <v>183</v>
      </c>
      <c r="G46" s="475" t="s">
        <v>185</v>
      </c>
      <c r="H46" s="475" t="s">
        <v>187</v>
      </c>
      <c r="J46" s="473">
        <v>18</v>
      </c>
      <c r="K46" s="477">
        <v>17415.05</v>
      </c>
      <c r="L46" s="477"/>
    </row>
    <row r="47" spans="1:12" x14ac:dyDescent="0.2">
      <c r="A47" s="472" t="s">
        <v>338</v>
      </c>
      <c r="B47" s="472" t="s">
        <v>345</v>
      </c>
      <c r="C47" s="473">
        <v>1635</v>
      </c>
      <c r="D47" s="478">
        <v>43073</v>
      </c>
      <c r="E47" s="475">
        <v>12032.14</v>
      </c>
      <c r="F47" s="476" t="s">
        <v>183</v>
      </c>
      <c r="G47" s="475" t="s">
        <v>185</v>
      </c>
      <c r="H47" s="475" t="s">
        <v>187</v>
      </c>
      <c r="J47" s="473">
        <v>18</v>
      </c>
      <c r="K47" s="477">
        <v>10196.719999999999</v>
      </c>
      <c r="L47" s="477"/>
    </row>
    <row r="48" spans="1:12" x14ac:dyDescent="0.2">
      <c r="A48" s="477" t="s">
        <v>341</v>
      </c>
      <c r="B48" s="472" t="s">
        <v>173</v>
      </c>
      <c r="C48" s="473">
        <v>1636</v>
      </c>
      <c r="D48" s="478">
        <v>43073</v>
      </c>
      <c r="E48" s="475">
        <v>4390.2</v>
      </c>
      <c r="F48" s="476" t="s">
        <v>183</v>
      </c>
      <c r="G48" s="475" t="s">
        <v>185</v>
      </c>
      <c r="H48" s="475" t="s">
        <v>187</v>
      </c>
      <c r="J48" s="473">
        <v>18</v>
      </c>
      <c r="K48" s="477">
        <v>2747.7999999999997</v>
      </c>
      <c r="L48" s="477"/>
    </row>
    <row r="49" spans="1:12" x14ac:dyDescent="0.2">
      <c r="A49" s="477" t="s">
        <v>341</v>
      </c>
      <c r="B49" s="472" t="s">
        <v>173</v>
      </c>
      <c r="C49" s="473">
        <v>1636</v>
      </c>
      <c r="D49" s="478">
        <v>43073</v>
      </c>
      <c r="E49" s="475">
        <v>4390.2</v>
      </c>
      <c r="F49" s="476" t="s">
        <v>183</v>
      </c>
      <c r="G49" s="475" t="s">
        <v>185</v>
      </c>
      <c r="H49" s="475" t="s">
        <v>187</v>
      </c>
      <c r="J49" s="473">
        <v>12</v>
      </c>
      <c r="K49" s="477">
        <v>1024.8000000000002</v>
      </c>
      <c r="L49" s="477"/>
    </row>
    <row r="50" spans="1:12" x14ac:dyDescent="0.2">
      <c r="A50" s="472" t="s">
        <v>338</v>
      </c>
      <c r="B50" s="472" t="s">
        <v>345</v>
      </c>
      <c r="C50" s="473">
        <v>1637</v>
      </c>
      <c r="D50" s="478">
        <v>43074</v>
      </c>
      <c r="E50" s="475">
        <v>14256.41</v>
      </c>
      <c r="F50" s="476" t="s">
        <v>183</v>
      </c>
      <c r="G50" s="475" t="s">
        <v>185</v>
      </c>
      <c r="H50" s="475" t="s">
        <v>187</v>
      </c>
      <c r="J50" s="473">
        <v>18</v>
      </c>
      <c r="K50" s="477">
        <v>12081.71</v>
      </c>
      <c r="L50" s="477"/>
    </row>
    <row r="51" spans="1:12" x14ac:dyDescent="0.2">
      <c r="A51" s="472" t="s">
        <v>338</v>
      </c>
      <c r="B51" s="472" t="s">
        <v>345</v>
      </c>
      <c r="C51" s="473">
        <v>1638</v>
      </c>
      <c r="D51" s="478">
        <v>43074</v>
      </c>
      <c r="E51" s="475">
        <v>15318.24</v>
      </c>
      <c r="F51" s="476" t="s">
        <v>183</v>
      </c>
      <c r="G51" s="475" t="s">
        <v>185</v>
      </c>
      <c r="H51" s="475" t="s">
        <v>187</v>
      </c>
      <c r="J51" s="473">
        <v>18</v>
      </c>
      <c r="K51" s="477">
        <v>12981.56</v>
      </c>
      <c r="L51" s="477"/>
    </row>
    <row r="52" spans="1:12" x14ac:dyDescent="0.2">
      <c r="A52" s="472" t="s">
        <v>338</v>
      </c>
      <c r="B52" s="472" t="s">
        <v>345</v>
      </c>
      <c r="C52" s="473">
        <v>1639</v>
      </c>
      <c r="D52" s="478">
        <v>43074</v>
      </c>
      <c r="E52" s="475">
        <v>4276.3599999999997</v>
      </c>
      <c r="F52" s="476" t="s">
        <v>183</v>
      </c>
      <c r="G52" s="475" t="s">
        <v>185</v>
      </c>
      <c r="H52" s="475" t="s">
        <v>187</v>
      </c>
      <c r="J52" s="473">
        <v>12</v>
      </c>
      <c r="K52" s="477">
        <v>3818.18</v>
      </c>
      <c r="L52" s="477"/>
    </row>
    <row r="53" spans="1:12" x14ac:dyDescent="0.2">
      <c r="A53" s="472" t="s">
        <v>338</v>
      </c>
      <c r="B53" s="472" t="s">
        <v>345</v>
      </c>
      <c r="C53" s="473">
        <v>1640</v>
      </c>
      <c r="D53" s="478">
        <v>43075</v>
      </c>
      <c r="E53" s="475">
        <v>13587.840000000002</v>
      </c>
      <c r="F53" s="476" t="s">
        <v>183</v>
      </c>
      <c r="G53" s="475" t="s">
        <v>185</v>
      </c>
      <c r="H53" s="475" t="s">
        <v>187</v>
      </c>
      <c r="J53" s="473">
        <v>18</v>
      </c>
      <c r="K53" s="477">
        <v>11515.12</v>
      </c>
      <c r="L53" s="477"/>
    </row>
    <row r="54" spans="1:12" x14ac:dyDescent="0.2">
      <c r="A54" s="472" t="s">
        <v>338</v>
      </c>
      <c r="B54" s="472" t="s">
        <v>345</v>
      </c>
      <c r="C54" s="473">
        <v>1641</v>
      </c>
      <c r="D54" s="478">
        <v>43075</v>
      </c>
      <c r="E54" s="475">
        <v>19674.689999999999</v>
      </c>
      <c r="F54" s="476" t="s">
        <v>183</v>
      </c>
      <c r="G54" s="475" t="s">
        <v>185</v>
      </c>
      <c r="H54" s="475" t="s">
        <v>187</v>
      </c>
      <c r="J54" s="473">
        <v>18</v>
      </c>
      <c r="K54" s="477">
        <v>11647.11</v>
      </c>
      <c r="L54" s="477"/>
    </row>
    <row r="55" spans="1:12" x14ac:dyDescent="0.2">
      <c r="A55" s="472" t="s">
        <v>338</v>
      </c>
      <c r="B55" s="472" t="s">
        <v>345</v>
      </c>
      <c r="C55" s="473">
        <v>1641</v>
      </c>
      <c r="D55" s="478">
        <v>43075</v>
      </c>
      <c r="E55" s="475">
        <v>19674.689999999999</v>
      </c>
      <c r="F55" s="476" t="s">
        <v>183</v>
      </c>
      <c r="G55" s="475" t="s">
        <v>185</v>
      </c>
      <c r="H55" s="475" t="s">
        <v>187</v>
      </c>
      <c r="J55" s="473">
        <v>12</v>
      </c>
      <c r="K55" s="477">
        <v>5295.62</v>
      </c>
      <c r="L55" s="477"/>
    </row>
    <row r="56" spans="1:12" x14ac:dyDescent="0.2">
      <c r="A56" s="472" t="s">
        <v>338</v>
      </c>
      <c r="B56" s="472" t="s">
        <v>345</v>
      </c>
      <c r="C56" s="473">
        <v>1642</v>
      </c>
      <c r="D56" s="478">
        <v>43075</v>
      </c>
      <c r="E56" s="475">
        <v>4594.8</v>
      </c>
      <c r="F56" s="476" t="s">
        <v>183</v>
      </c>
      <c r="G56" s="475" t="s">
        <v>185</v>
      </c>
      <c r="H56" s="475" t="s">
        <v>187</v>
      </c>
      <c r="J56" s="473">
        <v>18</v>
      </c>
      <c r="K56" s="477">
        <v>3893.9</v>
      </c>
      <c r="L56" s="477"/>
    </row>
    <row r="57" spans="1:12" x14ac:dyDescent="0.2">
      <c r="A57" s="472" t="s">
        <v>338</v>
      </c>
      <c r="B57" s="472" t="s">
        <v>345</v>
      </c>
      <c r="C57" s="473">
        <v>1643</v>
      </c>
      <c r="D57" s="478">
        <v>43075</v>
      </c>
      <c r="E57" s="475">
        <v>3207.28</v>
      </c>
      <c r="F57" s="476" t="s">
        <v>183</v>
      </c>
      <c r="G57" s="475" t="s">
        <v>185</v>
      </c>
      <c r="H57" s="475" t="s">
        <v>187</v>
      </c>
      <c r="J57" s="473">
        <v>12</v>
      </c>
      <c r="K57" s="477">
        <v>2863.64</v>
      </c>
      <c r="L57" s="477"/>
    </row>
    <row r="58" spans="1:12" x14ac:dyDescent="0.2">
      <c r="A58" s="472" t="s">
        <v>338</v>
      </c>
      <c r="B58" s="472" t="s">
        <v>345</v>
      </c>
      <c r="C58" s="473">
        <v>1644</v>
      </c>
      <c r="D58" s="478">
        <v>43076</v>
      </c>
      <c r="E58" s="475">
        <v>21175.81</v>
      </c>
      <c r="F58" s="476" t="s">
        <v>183</v>
      </c>
      <c r="G58" s="475" t="s">
        <v>185</v>
      </c>
      <c r="H58" s="475" t="s">
        <v>187</v>
      </c>
      <c r="J58" s="473">
        <v>18</v>
      </c>
      <c r="K58" s="477">
        <v>16905.690000000002</v>
      </c>
      <c r="L58" s="477"/>
    </row>
    <row r="59" spans="1:12" x14ac:dyDescent="0.2">
      <c r="A59" s="472" t="s">
        <v>338</v>
      </c>
      <c r="B59" s="472" t="s">
        <v>345</v>
      </c>
      <c r="C59" s="473">
        <v>1644</v>
      </c>
      <c r="D59" s="478">
        <v>43076</v>
      </c>
      <c r="E59" s="475">
        <v>21175.81</v>
      </c>
      <c r="F59" s="476" t="s">
        <v>183</v>
      </c>
      <c r="G59" s="475" t="s">
        <v>185</v>
      </c>
      <c r="H59" s="475" t="s">
        <v>187</v>
      </c>
      <c r="J59" s="473">
        <v>12</v>
      </c>
      <c r="K59" s="477">
        <v>1095.6199999999999</v>
      </c>
      <c r="L59" s="477"/>
    </row>
    <row r="60" spans="1:12" x14ac:dyDescent="0.2">
      <c r="A60" s="472" t="s">
        <v>338</v>
      </c>
      <c r="B60" s="472" t="s">
        <v>345</v>
      </c>
      <c r="C60" s="473">
        <v>1645</v>
      </c>
      <c r="D60" s="478">
        <v>43076</v>
      </c>
      <c r="E60" s="475">
        <v>4276.3599999999997</v>
      </c>
      <c r="F60" s="476" t="s">
        <v>183</v>
      </c>
      <c r="G60" s="475" t="s">
        <v>185</v>
      </c>
      <c r="H60" s="475" t="s">
        <v>187</v>
      </c>
      <c r="J60" s="473">
        <v>12</v>
      </c>
      <c r="K60" s="477">
        <v>3818.18</v>
      </c>
      <c r="L60" s="477"/>
    </row>
    <row r="61" spans="1:12" x14ac:dyDescent="0.2">
      <c r="A61" s="472" t="s">
        <v>338</v>
      </c>
      <c r="B61" s="472" t="s">
        <v>345</v>
      </c>
      <c r="C61" s="473">
        <v>1646</v>
      </c>
      <c r="D61" s="478">
        <v>43077</v>
      </c>
      <c r="E61" s="475">
        <v>5584.31</v>
      </c>
      <c r="F61" s="476" t="s">
        <v>183</v>
      </c>
      <c r="G61" s="475" t="s">
        <v>185</v>
      </c>
      <c r="H61" s="475" t="s">
        <v>187</v>
      </c>
      <c r="J61" s="473">
        <v>18</v>
      </c>
      <c r="K61" s="477">
        <v>4732.47</v>
      </c>
      <c r="L61" s="477"/>
    </row>
    <row r="62" spans="1:12" x14ac:dyDescent="0.2">
      <c r="A62" s="472" t="s">
        <v>338</v>
      </c>
      <c r="B62" s="472" t="s">
        <v>345</v>
      </c>
      <c r="C62" s="473">
        <v>1647</v>
      </c>
      <c r="D62" s="478">
        <v>43077</v>
      </c>
      <c r="E62" s="475">
        <v>2256.41</v>
      </c>
      <c r="F62" s="476" t="s">
        <v>183</v>
      </c>
      <c r="G62" s="475" t="s">
        <v>185</v>
      </c>
      <c r="H62" s="475" t="s">
        <v>187</v>
      </c>
      <c r="J62" s="473">
        <v>18</v>
      </c>
      <c r="K62" s="477">
        <v>1912.21</v>
      </c>
      <c r="L62" s="477"/>
    </row>
    <row r="63" spans="1:12" x14ac:dyDescent="0.2">
      <c r="A63" s="477" t="s">
        <v>342</v>
      </c>
      <c r="B63" s="472" t="s">
        <v>349</v>
      </c>
      <c r="C63" s="473">
        <v>1648</v>
      </c>
      <c r="D63" s="478">
        <v>43077</v>
      </c>
      <c r="E63" s="475">
        <v>8313.0499999999993</v>
      </c>
      <c r="F63" s="476" t="s">
        <v>183</v>
      </c>
      <c r="G63" s="475" t="s">
        <v>185</v>
      </c>
      <c r="H63" s="475" t="s">
        <v>187</v>
      </c>
      <c r="J63" s="473">
        <v>18</v>
      </c>
      <c r="K63" s="477">
        <v>6160.65</v>
      </c>
      <c r="L63" s="477"/>
    </row>
    <row r="64" spans="1:12" x14ac:dyDescent="0.2">
      <c r="A64" s="477" t="s">
        <v>342</v>
      </c>
      <c r="B64" s="472" t="s">
        <v>349</v>
      </c>
      <c r="C64" s="473">
        <v>1648</v>
      </c>
      <c r="D64" s="478">
        <v>43077</v>
      </c>
      <c r="E64" s="475">
        <v>8313.0499999999993</v>
      </c>
      <c r="F64" s="476" t="s">
        <v>183</v>
      </c>
      <c r="G64" s="475" t="s">
        <v>185</v>
      </c>
      <c r="H64" s="475" t="s">
        <v>187</v>
      </c>
      <c r="J64" s="473">
        <v>12</v>
      </c>
      <c r="K64" s="477">
        <v>931.68</v>
      </c>
      <c r="L64" s="477"/>
    </row>
    <row r="65" spans="1:12" x14ac:dyDescent="0.2">
      <c r="A65" s="472" t="s">
        <v>338</v>
      </c>
      <c r="B65" s="472" t="s">
        <v>345</v>
      </c>
      <c r="C65" s="473">
        <v>1649</v>
      </c>
      <c r="D65" s="474">
        <v>43078</v>
      </c>
      <c r="E65" s="475">
        <v>8653.69</v>
      </c>
      <c r="F65" s="476" t="s">
        <v>183</v>
      </c>
      <c r="G65" s="475" t="s">
        <v>185</v>
      </c>
      <c r="H65" s="475" t="s">
        <v>187</v>
      </c>
      <c r="J65" s="473">
        <v>18</v>
      </c>
      <c r="K65" s="475">
        <v>7333.63</v>
      </c>
    </row>
    <row r="66" spans="1:12" x14ac:dyDescent="0.2">
      <c r="A66" s="472" t="s">
        <v>338</v>
      </c>
      <c r="B66" s="472" t="s">
        <v>345</v>
      </c>
      <c r="C66" s="473">
        <v>1650</v>
      </c>
      <c r="D66" s="474">
        <v>43078</v>
      </c>
      <c r="E66" s="475">
        <v>2138.19</v>
      </c>
      <c r="F66" s="476" t="s">
        <v>183</v>
      </c>
      <c r="G66" s="475" t="s">
        <v>185</v>
      </c>
      <c r="H66" s="475" t="s">
        <v>187</v>
      </c>
      <c r="J66" s="473">
        <v>12</v>
      </c>
      <c r="K66" s="475">
        <v>1909.09</v>
      </c>
    </row>
    <row r="67" spans="1:12" x14ac:dyDescent="0.2">
      <c r="A67" s="472" t="s">
        <v>338</v>
      </c>
      <c r="B67" s="472" t="s">
        <v>345</v>
      </c>
      <c r="C67" s="473">
        <v>1651</v>
      </c>
      <c r="D67" s="478">
        <v>43079</v>
      </c>
      <c r="E67" s="477">
        <v>8653.68</v>
      </c>
      <c r="F67" s="476" t="s">
        <v>183</v>
      </c>
      <c r="G67" s="475" t="s">
        <v>185</v>
      </c>
      <c r="H67" s="475" t="s">
        <v>187</v>
      </c>
      <c r="J67" s="473">
        <v>18</v>
      </c>
      <c r="K67" s="477">
        <v>7333.62</v>
      </c>
      <c r="L67" s="477"/>
    </row>
    <row r="68" spans="1:12" x14ac:dyDescent="0.2">
      <c r="A68" s="472" t="s">
        <v>338</v>
      </c>
      <c r="B68" s="472" t="s">
        <v>345</v>
      </c>
      <c r="C68" s="473">
        <v>1652</v>
      </c>
      <c r="D68" s="474">
        <v>43079</v>
      </c>
      <c r="E68" s="475">
        <v>7230.73</v>
      </c>
      <c r="F68" s="476" t="s">
        <v>183</v>
      </c>
      <c r="G68" s="475" t="s">
        <v>185</v>
      </c>
      <c r="H68" s="475" t="s">
        <v>187</v>
      </c>
      <c r="J68" s="473">
        <v>18</v>
      </c>
      <c r="K68" s="475">
        <v>6127.73</v>
      </c>
    </row>
    <row r="69" spans="1:12" x14ac:dyDescent="0.2">
      <c r="A69" s="472" t="s">
        <v>338</v>
      </c>
      <c r="B69" s="472" t="s">
        <v>345</v>
      </c>
      <c r="C69" s="473">
        <v>1653</v>
      </c>
      <c r="D69" s="474">
        <v>43079</v>
      </c>
      <c r="E69" s="475">
        <v>4276.3999999999996</v>
      </c>
      <c r="F69" s="476" t="s">
        <v>183</v>
      </c>
      <c r="G69" s="475" t="s">
        <v>185</v>
      </c>
      <c r="H69" s="475" t="s">
        <v>187</v>
      </c>
      <c r="J69" s="473">
        <v>12</v>
      </c>
      <c r="K69" s="475">
        <v>3818.2</v>
      </c>
    </row>
    <row r="70" spans="1:12" x14ac:dyDescent="0.2">
      <c r="A70" s="472" t="s">
        <v>338</v>
      </c>
      <c r="B70" s="472" t="s">
        <v>345</v>
      </c>
      <c r="C70" s="473">
        <v>1654</v>
      </c>
      <c r="D70" s="474">
        <v>43079</v>
      </c>
      <c r="E70" s="475">
        <v>4693.92</v>
      </c>
      <c r="F70" s="476" t="s">
        <v>183</v>
      </c>
      <c r="G70" s="475" t="s">
        <v>185</v>
      </c>
      <c r="H70" s="475" t="s">
        <v>187</v>
      </c>
      <c r="J70" s="473">
        <v>18</v>
      </c>
      <c r="K70" s="475">
        <v>3977.9</v>
      </c>
    </row>
    <row r="71" spans="1:12" x14ac:dyDescent="0.2">
      <c r="A71" s="472" t="s">
        <v>338</v>
      </c>
      <c r="B71" s="472" t="s">
        <v>345</v>
      </c>
      <c r="C71" s="473">
        <v>1655</v>
      </c>
      <c r="D71" s="474">
        <v>43079</v>
      </c>
      <c r="E71" s="475">
        <v>11696.61</v>
      </c>
      <c r="F71" s="476" t="s">
        <v>183</v>
      </c>
      <c r="G71" s="475" t="s">
        <v>185</v>
      </c>
      <c r="H71" s="475" t="s">
        <v>187</v>
      </c>
      <c r="J71" s="473">
        <v>18</v>
      </c>
      <c r="K71" s="475">
        <v>4476.3100000000004</v>
      </c>
    </row>
    <row r="72" spans="1:12" x14ac:dyDescent="0.2">
      <c r="A72" s="472" t="s">
        <v>338</v>
      </c>
      <c r="B72" s="472" t="s">
        <v>345</v>
      </c>
      <c r="C72" s="473">
        <v>1655</v>
      </c>
      <c r="D72" s="474">
        <v>43079</v>
      </c>
      <c r="E72" s="475">
        <v>11696.61</v>
      </c>
      <c r="F72" s="476" t="s">
        <v>183</v>
      </c>
      <c r="G72" s="475" t="s">
        <v>185</v>
      </c>
      <c r="H72" s="475" t="s">
        <v>187</v>
      </c>
      <c r="J72" s="473">
        <v>12</v>
      </c>
      <c r="K72" s="475">
        <v>5727.28</v>
      </c>
    </row>
    <row r="73" spans="1:12" x14ac:dyDescent="0.2">
      <c r="A73" s="472" t="s">
        <v>338</v>
      </c>
      <c r="B73" s="472" t="s">
        <v>345</v>
      </c>
      <c r="C73" s="473">
        <v>1656</v>
      </c>
      <c r="D73" s="474">
        <v>43079</v>
      </c>
      <c r="E73" s="475">
        <v>3175.21</v>
      </c>
      <c r="F73" s="476" t="s">
        <v>183</v>
      </c>
      <c r="G73" s="475" t="s">
        <v>185</v>
      </c>
      <c r="H73" s="475" t="s">
        <v>187</v>
      </c>
      <c r="J73" s="473">
        <v>18</v>
      </c>
      <c r="K73" s="475">
        <v>2690.85</v>
      </c>
    </row>
    <row r="74" spans="1:12" x14ac:dyDescent="0.2">
      <c r="A74" s="472" t="s">
        <v>339</v>
      </c>
      <c r="B74" s="472" t="s">
        <v>346</v>
      </c>
      <c r="C74" s="473">
        <v>1657</v>
      </c>
      <c r="D74" s="474">
        <v>43080</v>
      </c>
      <c r="E74" s="475">
        <v>3339.13</v>
      </c>
      <c r="F74" s="476" t="s">
        <v>183</v>
      </c>
      <c r="G74" s="475" t="s">
        <v>185</v>
      </c>
      <c r="H74" s="475" t="s">
        <v>187</v>
      </c>
      <c r="J74" s="473">
        <v>12</v>
      </c>
      <c r="K74" s="475">
        <v>2981.37</v>
      </c>
    </row>
    <row r="75" spans="1:12" x14ac:dyDescent="0.2">
      <c r="A75" s="472" t="s">
        <v>338</v>
      </c>
      <c r="B75" s="472" t="s">
        <v>345</v>
      </c>
      <c r="C75" s="473">
        <v>1658</v>
      </c>
      <c r="D75" s="474">
        <v>43080</v>
      </c>
      <c r="E75" s="475">
        <v>11874.24</v>
      </c>
      <c r="F75" s="476" t="s">
        <v>183</v>
      </c>
      <c r="G75" s="475" t="s">
        <v>185</v>
      </c>
      <c r="H75" s="475" t="s">
        <v>187</v>
      </c>
      <c r="J75" s="473">
        <v>18</v>
      </c>
      <c r="K75" s="475">
        <v>10062.92</v>
      </c>
    </row>
    <row r="76" spans="1:12" x14ac:dyDescent="0.2">
      <c r="A76" s="400" t="s">
        <v>340</v>
      </c>
      <c r="B76" s="472" t="s">
        <v>347</v>
      </c>
      <c r="C76" s="473">
        <v>1659</v>
      </c>
      <c r="D76" s="474">
        <v>43080</v>
      </c>
      <c r="E76" s="475">
        <v>1715.06</v>
      </c>
      <c r="F76" s="476" t="s">
        <v>183</v>
      </c>
      <c r="G76" s="475" t="s">
        <v>185</v>
      </c>
      <c r="H76" s="475" t="s">
        <v>187</v>
      </c>
      <c r="J76" s="473">
        <v>18</v>
      </c>
      <c r="K76" s="475">
        <v>1453.44</v>
      </c>
    </row>
    <row r="77" spans="1:12" x14ac:dyDescent="0.2">
      <c r="A77" s="472" t="s">
        <v>338</v>
      </c>
      <c r="B77" s="472" t="s">
        <v>345</v>
      </c>
      <c r="C77" s="473">
        <v>1660</v>
      </c>
      <c r="D77" s="474">
        <v>43082</v>
      </c>
      <c r="E77" s="475">
        <v>9124.92</v>
      </c>
      <c r="F77" s="476" t="s">
        <v>183</v>
      </c>
      <c r="G77" s="475" t="s">
        <v>185</v>
      </c>
      <c r="H77" s="475" t="s">
        <v>187</v>
      </c>
      <c r="J77" s="473">
        <v>18</v>
      </c>
      <c r="K77" s="475">
        <v>7732.98</v>
      </c>
    </row>
    <row r="78" spans="1:12" x14ac:dyDescent="0.2">
      <c r="A78" s="472" t="s">
        <v>338</v>
      </c>
      <c r="B78" s="472" t="s">
        <v>345</v>
      </c>
      <c r="C78" s="473">
        <v>1661</v>
      </c>
      <c r="D78" s="474">
        <v>43082</v>
      </c>
      <c r="E78" s="475">
        <v>4788</v>
      </c>
      <c r="F78" s="476" t="s">
        <v>183</v>
      </c>
      <c r="G78" s="475" t="s">
        <v>185</v>
      </c>
      <c r="H78" s="475" t="s">
        <v>187</v>
      </c>
      <c r="J78" s="473">
        <v>18</v>
      </c>
      <c r="K78" s="475">
        <v>4057.62</v>
      </c>
    </row>
    <row r="79" spans="1:12" x14ac:dyDescent="0.2">
      <c r="A79" s="472" t="s">
        <v>338</v>
      </c>
      <c r="B79" s="472" t="s">
        <v>345</v>
      </c>
      <c r="C79" s="473">
        <v>1662</v>
      </c>
      <c r="D79" s="474">
        <v>43082</v>
      </c>
      <c r="E79" s="475">
        <v>10493.89</v>
      </c>
      <c r="F79" s="476" t="s">
        <v>183</v>
      </c>
      <c r="G79" s="475" t="s">
        <v>185</v>
      </c>
      <c r="H79" s="475" t="s">
        <v>187</v>
      </c>
      <c r="J79" s="473">
        <v>18</v>
      </c>
      <c r="K79" s="475">
        <v>8373.16</v>
      </c>
    </row>
    <row r="80" spans="1:12" x14ac:dyDescent="0.2">
      <c r="A80" s="472" t="s">
        <v>338</v>
      </c>
      <c r="B80" s="472" t="s">
        <v>345</v>
      </c>
      <c r="C80" s="473">
        <v>1662</v>
      </c>
      <c r="D80" s="474">
        <v>43082</v>
      </c>
      <c r="E80" s="475">
        <v>10493.89</v>
      </c>
      <c r="F80" s="476" t="s">
        <v>183</v>
      </c>
      <c r="G80" s="475" t="s">
        <v>185</v>
      </c>
      <c r="H80" s="475" t="s">
        <v>187</v>
      </c>
      <c r="J80" s="473">
        <v>12</v>
      </c>
      <c r="K80" s="475">
        <v>547.80999999999995</v>
      </c>
    </row>
    <row r="81" spans="1:11" x14ac:dyDescent="0.2">
      <c r="A81" s="472" t="s">
        <v>338</v>
      </c>
      <c r="B81" s="472" t="s">
        <v>345</v>
      </c>
      <c r="C81" s="473">
        <v>1663</v>
      </c>
      <c r="D81" s="474">
        <v>43082</v>
      </c>
      <c r="E81" s="475">
        <v>4280.6400000000003</v>
      </c>
      <c r="F81" s="476" t="s">
        <v>183</v>
      </c>
      <c r="G81" s="475" t="s">
        <v>185</v>
      </c>
      <c r="H81" s="475" t="s">
        <v>187</v>
      </c>
      <c r="J81" s="473">
        <v>18</v>
      </c>
      <c r="K81" s="475">
        <v>3627.66</v>
      </c>
    </row>
    <row r="82" spans="1:11" x14ac:dyDescent="0.2">
      <c r="A82" s="472" t="s">
        <v>338</v>
      </c>
      <c r="B82" s="472" t="s">
        <v>345</v>
      </c>
      <c r="C82" s="473">
        <v>1664</v>
      </c>
      <c r="D82" s="474">
        <v>43083</v>
      </c>
      <c r="E82" s="475">
        <v>6949.12</v>
      </c>
      <c r="F82" s="476" t="s">
        <v>183</v>
      </c>
      <c r="G82" s="475" t="s">
        <v>185</v>
      </c>
      <c r="H82" s="475" t="s">
        <v>187</v>
      </c>
      <c r="J82" s="473">
        <v>12</v>
      </c>
      <c r="K82" s="475">
        <v>6204.56</v>
      </c>
    </row>
    <row r="83" spans="1:11" x14ac:dyDescent="0.2">
      <c r="A83" s="472" t="s">
        <v>338</v>
      </c>
      <c r="B83" s="472" t="s">
        <v>345</v>
      </c>
      <c r="C83" s="473">
        <v>1665</v>
      </c>
      <c r="D83" s="474">
        <v>43083</v>
      </c>
      <c r="E83" s="475">
        <v>2620.8000000000002</v>
      </c>
      <c r="F83" s="476" t="s">
        <v>183</v>
      </c>
      <c r="G83" s="475" t="s">
        <v>185</v>
      </c>
      <c r="H83" s="475" t="s">
        <v>187</v>
      </c>
      <c r="J83" s="473">
        <v>18</v>
      </c>
      <c r="K83" s="475">
        <v>2221.02</v>
      </c>
    </row>
    <row r="84" spans="1:11" x14ac:dyDescent="0.2">
      <c r="A84" s="472" t="s">
        <v>338</v>
      </c>
      <c r="B84" s="472" t="s">
        <v>345</v>
      </c>
      <c r="C84" s="473">
        <v>1666</v>
      </c>
      <c r="D84" s="474">
        <v>43083</v>
      </c>
      <c r="E84" s="475">
        <v>5131.67</v>
      </c>
      <c r="F84" s="476" t="s">
        <v>183</v>
      </c>
      <c r="G84" s="475" t="s">
        <v>185</v>
      </c>
      <c r="H84" s="475" t="s">
        <v>187</v>
      </c>
      <c r="J84" s="473">
        <v>12</v>
      </c>
      <c r="K84" s="475">
        <v>4581.83</v>
      </c>
    </row>
    <row r="85" spans="1:11" x14ac:dyDescent="0.2">
      <c r="A85" s="472" t="s">
        <v>338</v>
      </c>
      <c r="B85" s="472" t="s">
        <v>345</v>
      </c>
      <c r="C85" s="473">
        <v>1667</v>
      </c>
      <c r="D85" s="474">
        <v>43083</v>
      </c>
      <c r="E85" s="475">
        <v>6817.29</v>
      </c>
      <c r="F85" s="476" t="s">
        <v>183</v>
      </c>
      <c r="G85" s="475" t="s">
        <v>185</v>
      </c>
      <c r="H85" s="475" t="s">
        <v>187</v>
      </c>
      <c r="J85" s="473">
        <v>18</v>
      </c>
      <c r="K85" s="475">
        <v>4867.4399999999996</v>
      </c>
    </row>
    <row r="86" spans="1:11" x14ac:dyDescent="0.2">
      <c r="A86" s="472" t="s">
        <v>338</v>
      </c>
      <c r="B86" s="472" t="s">
        <v>345</v>
      </c>
      <c r="C86" s="473">
        <v>1667</v>
      </c>
      <c r="D86" s="474">
        <v>43083</v>
      </c>
      <c r="E86" s="475">
        <v>6817.29</v>
      </c>
      <c r="F86" s="476" t="s">
        <v>183</v>
      </c>
      <c r="G86" s="475" t="s">
        <v>185</v>
      </c>
      <c r="H86" s="475" t="s">
        <v>187</v>
      </c>
      <c r="J86" s="473">
        <v>12</v>
      </c>
      <c r="K86" s="475">
        <v>958.67</v>
      </c>
    </row>
    <row r="87" spans="1:11" x14ac:dyDescent="0.2">
      <c r="A87" s="472" t="s">
        <v>338</v>
      </c>
      <c r="B87" s="472" t="s">
        <v>345</v>
      </c>
      <c r="C87" s="473">
        <v>1668</v>
      </c>
      <c r="D87" s="474">
        <v>43084</v>
      </c>
      <c r="E87" s="475">
        <v>8576.9</v>
      </c>
      <c r="F87" s="476" t="s">
        <v>183</v>
      </c>
      <c r="G87" s="475" t="s">
        <v>185</v>
      </c>
      <c r="H87" s="475" t="s">
        <v>187</v>
      </c>
      <c r="J87" s="473">
        <v>18</v>
      </c>
      <c r="K87" s="475">
        <v>7268.56</v>
      </c>
    </row>
    <row r="88" spans="1:11" x14ac:dyDescent="0.2">
      <c r="A88" s="472" t="s">
        <v>338</v>
      </c>
      <c r="B88" s="472" t="s">
        <v>345</v>
      </c>
      <c r="C88" s="473">
        <v>1669</v>
      </c>
      <c r="D88" s="474">
        <v>43084</v>
      </c>
      <c r="E88" s="475">
        <v>4461.5200000000004</v>
      </c>
      <c r="F88" s="476" t="s">
        <v>183</v>
      </c>
      <c r="G88" s="475" t="s">
        <v>185</v>
      </c>
      <c r="H88" s="475" t="s">
        <v>187</v>
      </c>
      <c r="J88" s="473">
        <v>18</v>
      </c>
      <c r="K88" s="475">
        <v>3780.96</v>
      </c>
    </row>
    <row r="89" spans="1:11" x14ac:dyDescent="0.2">
      <c r="A89" s="472" t="s">
        <v>338</v>
      </c>
      <c r="B89" s="472" t="s">
        <v>345</v>
      </c>
      <c r="C89" s="473">
        <v>1670</v>
      </c>
      <c r="D89" s="474">
        <v>43085</v>
      </c>
      <c r="E89" s="475">
        <v>7039.2</v>
      </c>
      <c r="F89" s="476" t="s">
        <v>183</v>
      </c>
      <c r="G89" s="475" t="s">
        <v>185</v>
      </c>
      <c r="H89" s="475" t="s">
        <v>187</v>
      </c>
      <c r="J89" s="473">
        <v>18</v>
      </c>
      <c r="K89" s="475">
        <v>5965.42</v>
      </c>
    </row>
    <row r="90" spans="1:11" x14ac:dyDescent="0.2">
      <c r="A90" s="472" t="s">
        <v>338</v>
      </c>
      <c r="B90" s="472" t="s">
        <v>345</v>
      </c>
      <c r="C90" s="473">
        <v>1671</v>
      </c>
      <c r="D90" s="474">
        <v>43088</v>
      </c>
      <c r="E90" s="475">
        <v>9938.8863000000001</v>
      </c>
      <c r="F90" s="476" t="s">
        <v>183</v>
      </c>
      <c r="G90" s="475" t="s">
        <v>185</v>
      </c>
      <c r="H90" s="475" t="s">
        <v>187</v>
      </c>
      <c r="J90" s="473">
        <v>18</v>
      </c>
      <c r="K90" s="475">
        <v>8422.7849999999999</v>
      </c>
    </row>
    <row r="91" spans="1:11" x14ac:dyDescent="0.2">
      <c r="A91" s="472" t="s">
        <v>338</v>
      </c>
      <c r="B91" s="472" t="s">
        <v>345</v>
      </c>
      <c r="C91" s="473">
        <v>1672</v>
      </c>
      <c r="D91" s="474">
        <v>43088</v>
      </c>
      <c r="E91" s="475">
        <v>10987.208919999999</v>
      </c>
      <c r="F91" s="476" t="s">
        <v>183</v>
      </c>
      <c r="G91" s="475" t="s">
        <v>185</v>
      </c>
      <c r="H91" s="475" t="s">
        <v>187</v>
      </c>
      <c r="J91" s="473">
        <v>18</v>
      </c>
      <c r="K91" s="475">
        <v>9311.1939999999995</v>
      </c>
    </row>
    <row r="92" spans="1:11" x14ac:dyDescent="0.2">
      <c r="A92" s="472" t="s">
        <v>338</v>
      </c>
      <c r="B92" s="472" t="s">
        <v>345</v>
      </c>
      <c r="C92" s="473">
        <v>1673</v>
      </c>
      <c r="D92" s="474">
        <v>43088</v>
      </c>
      <c r="E92" s="475">
        <v>14913.36392</v>
      </c>
      <c r="F92" s="476" t="s">
        <v>183</v>
      </c>
      <c r="G92" s="475" t="s">
        <v>185</v>
      </c>
      <c r="H92" s="475" t="s">
        <v>187</v>
      </c>
      <c r="J92" s="473">
        <v>18</v>
      </c>
      <c r="K92" s="475">
        <v>12638.444</v>
      </c>
    </row>
    <row r="93" spans="1:11" x14ac:dyDescent="0.2">
      <c r="A93" s="472" t="s">
        <v>338</v>
      </c>
      <c r="B93" s="472" t="s">
        <v>345</v>
      </c>
      <c r="C93" s="473">
        <v>1674</v>
      </c>
      <c r="D93" s="474">
        <v>43089</v>
      </c>
      <c r="E93" s="475">
        <v>25613.167979999998</v>
      </c>
      <c r="F93" s="476" t="s">
        <v>183</v>
      </c>
      <c r="G93" s="475" t="s">
        <v>185</v>
      </c>
      <c r="H93" s="475" t="s">
        <v>187</v>
      </c>
      <c r="J93" s="473">
        <v>18</v>
      </c>
      <c r="K93" s="475">
        <v>13097</v>
      </c>
    </row>
    <row r="94" spans="1:11" x14ac:dyDescent="0.2">
      <c r="A94" s="472" t="s">
        <v>338</v>
      </c>
      <c r="B94" s="472" t="s">
        <v>345</v>
      </c>
      <c r="C94" s="473">
        <v>1674</v>
      </c>
      <c r="D94" s="474">
        <v>43089</v>
      </c>
      <c r="E94" s="475">
        <v>25613.167979999998</v>
      </c>
      <c r="F94" s="476" t="s">
        <v>183</v>
      </c>
      <c r="G94" s="475" t="s">
        <v>185</v>
      </c>
      <c r="H94" s="475" t="s">
        <v>187</v>
      </c>
      <c r="J94" s="473">
        <v>12</v>
      </c>
      <c r="K94" s="475">
        <v>8499.619999999999</v>
      </c>
    </row>
    <row r="95" spans="1:11" x14ac:dyDescent="0.2">
      <c r="A95" s="472" t="s">
        <v>338</v>
      </c>
      <c r="B95" s="472" t="s">
        <v>345</v>
      </c>
      <c r="C95" s="473">
        <v>1674</v>
      </c>
      <c r="D95" s="474">
        <v>43089</v>
      </c>
      <c r="E95" s="475">
        <v>25613.167979999998</v>
      </c>
      <c r="F95" s="476" t="s">
        <v>183</v>
      </c>
      <c r="G95" s="475" t="s">
        <v>185</v>
      </c>
      <c r="H95" s="475" t="s">
        <v>187</v>
      </c>
      <c r="J95" s="473">
        <v>5</v>
      </c>
      <c r="K95" s="475">
        <v>608.70000000000005</v>
      </c>
    </row>
    <row r="96" spans="1:11" x14ac:dyDescent="0.2">
      <c r="A96" s="472" t="s">
        <v>338</v>
      </c>
      <c r="B96" s="472" t="s">
        <v>345</v>
      </c>
      <c r="C96" s="473">
        <v>1675</v>
      </c>
      <c r="D96" s="474">
        <v>43089</v>
      </c>
      <c r="E96" s="475">
        <v>10820.897360000001</v>
      </c>
      <c r="F96" s="476" t="s">
        <v>183</v>
      </c>
      <c r="G96" s="475" t="s">
        <v>185</v>
      </c>
      <c r="H96" s="475" t="s">
        <v>187</v>
      </c>
      <c r="J96" s="473">
        <v>18</v>
      </c>
      <c r="K96" s="475">
        <v>9170.2520000000004</v>
      </c>
    </row>
    <row r="97" spans="1:11" x14ac:dyDescent="0.2">
      <c r="A97" s="472" t="s">
        <v>338</v>
      </c>
      <c r="B97" s="472" t="s">
        <v>345</v>
      </c>
      <c r="C97" s="473">
        <v>1676</v>
      </c>
      <c r="D97" s="474">
        <v>43089</v>
      </c>
      <c r="E97" s="475">
        <v>12176.534240000001</v>
      </c>
      <c r="F97" s="476" t="s">
        <v>183</v>
      </c>
      <c r="G97" s="475" t="s">
        <v>185</v>
      </c>
      <c r="H97" s="475" t="s">
        <v>187</v>
      </c>
      <c r="J97" s="473">
        <v>18</v>
      </c>
      <c r="K97" s="475">
        <v>4693.62</v>
      </c>
    </row>
    <row r="98" spans="1:11" x14ac:dyDescent="0.2">
      <c r="A98" s="472" t="s">
        <v>338</v>
      </c>
      <c r="B98" s="472" t="s">
        <v>345</v>
      </c>
      <c r="C98" s="473">
        <v>1676</v>
      </c>
      <c r="D98" s="474">
        <v>43089</v>
      </c>
      <c r="E98" s="475">
        <v>12176.534240000001</v>
      </c>
      <c r="F98" s="476" t="s">
        <v>183</v>
      </c>
      <c r="G98" s="475" t="s">
        <v>185</v>
      </c>
      <c r="H98" s="475" t="s">
        <v>187</v>
      </c>
      <c r="J98" s="473">
        <v>12</v>
      </c>
      <c r="K98" s="475">
        <v>5866.89</v>
      </c>
    </row>
    <row r="99" spans="1:11" x14ac:dyDescent="0.2">
      <c r="A99" s="472" t="s">
        <v>338</v>
      </c>
      <c r="B99" s="472" t="s">
        <v>345</v>
      </c>
      <c r="C99" s="473">
        <v>1677</v>
      </c>
      <c r="D99" s="474">
        <v>43090</v>
      </c>
      <c r="E99" s="475">
        <v>8956.1707800000004</v>
      </c>
      <c r="F99" s="476" t="s">
        <v>183</v>
      </c>
      <c r="G99" s="475" t="s">
        <v>185</v>
      </c>
      <c r="H99" s="475" t="s">
        <v>187</v>
      </c>
      <c r="J99" s="473">
        <v>18</v>
      </c>
      <c r="K99" s="475">
        <v>6867.79</v>
      </c>
    </row>
    <row r="100" spans="1:11" x14ac:dyDescent="0.2">
      <c r="A100" s="472" t="s">
        <v>338</v>
      </c>
      <c r="B100" s="472" t="s">
        <v>345</v>
      </c>
      <c r="C100" s="473">
        <v>1677</v>
      </c>
      <c r="D100" s="474">
        <v>43090</v>
      </c>
      <c r="E100" s="475">
        <v>8956.1707800000004</v>
      </c>
      <c r="F100" s="476" t="s">
        <v>183</v>
      </c>
      <c r="G100" s="475" t="s">
        <v>185</v>
      </c>
      <c r="H100" s="475" t="s">
        <v>187</v>
      </c>
      <c r="J100" s="473">
        <v>5</v>
      </c>
      <c r="K100" s="475">
        <v>811.6</v>
      </c>
    </row>
    <row r="101" spans="1:11" x14ac:dyDescent="0.2">
      <c r="A101" s="472" t="s">
        <v>338</v>
      </c>
      <c r="B101" s="472" t="s">
        <v>345</v>
      </c>
      <c r="C101" s="473">
        <v>1678</v>
      </c>
      <c r="D101" s="474">
        <v>43090</v>
      </c>
      <c r="E101" s="475">
        <v>6728.0109400000001</v>
      </c>
      <c r="F101" s="476" t="s">
        <v>183</v>
      </c>
      <c r="G101" s="475" t="s">
        <v>185</v>
      </c>
      <c r="H101" s="475" t="s">
        <v>187</v>
      </c>
      <c r="J101" s="473">
        <v>18</v>
      </c>
      <c r="K101" s="475">
        <v>2621.2699999999995</v>
      </c>
    </row>
    <row r="102" spans="1:11" x14ac:dyDescent="0.2">
      <c r="A102" s="472" t="s">
        <v>338</v>
      </c>
      <c r="B102" s="472" t="s">
        <v>345</v>
      </c>
      <c r="C102" s="473">
        <v>1678</v>
      </c>
      <c r="D102" s="474">
        <v>43090</v>
      </c>
      <c r="E102" s="475">
        <v>6728.0109400000001</v>
      </c>
      <c r="F102" s="476" t="s">
        <v>183</v>
      </c>
      <c r="G102" s="475" t="s">
        <v>185</v>
      </c>
      <c r="H102" s="475" t="s">
        <v>187</v>
      </c>
      <c r="J102" s="473">
        <v>12</v>
      </c>
      <c r="K102" s="475">
        <v>3245.46</v>
      </c>
    </row>
    <row r="103" spans="1:11" x14ac:dyDescent="0.2">
      <c r="A103" s="472" t="s">
        <v>338</v>
      </c>
      <c r="B103" s="472" t="s">
        <v>345</v>
      </c>
      <c r="C103" s="473">
        <v>1679</v>
      </c>
      <c r="D103" s="474">
        <v>43091</v>
      </c>
      <c r="E103" s="475">
        <v>6864.4770200000003</v>
      </c>
      <c r="F103" s="476" t="s">
        <v>183</v>
      </c>
      <c r="G103" s="475" t="s">
        <v>185</v>
      </c>
      <c r="H103" s="475" t="s">
        <v>187</v>
      </c>
      <c r="J103" s="473">
        <v>18</v>
      </c>
      <c r="K103" s="475">
        <v>5817.3534</v>
      </c>
    </row>
    <row r="104" spans="1:11" x14ac:dyDescent="0.2">
      <c r="A104" s="472" t="s">
        <v>338</v>
      </c>
      <c r="B104" s="472" t="s">
        <v>345</v>
      </c>
      <c r="C104" s="473">
        <v>1680</v>
      </c>
      <c r="D104" s="474">
        <v>43091</v>
      </c>
      <c r="E104" s="475">
        <v>1525.86556</v>
      </c>
      <c r="F104" s="476" t="s">
        <v>183</v>
      </c>
      <c r="G104" s="475" t="s">
        <v>185</v>
      </c>
      <c r="H104" s="475" t="s">
        <v>187</v>
      </c>
      <c r="J104" s="473">
        <v>18</v>
      </c>
      <c r="K104" s="475">
        <v>1293.1063999999999</v>
      </c>
    </row>
    <row r="105" spans="1:11" x14ac:dyDescent="0.2">
      <c r="A105" s="472" t="s">
        <v>338</v>
      </c>
      <c r="B105" s="472" t="s">
        <v>345</v>
      </c>
      <c r="C105" s="473">
        <v>1681</v>
      </c>
      <c r="D105" s="474">
        <v>43095</v>
      </c>
      <c r="E105" s="475">
        <v>9982.7225999999991</v>
      </c>
      <c r="F105" s="476" t="s">
        <v>183</v>
      </c>
      <c r="G105" s="475" t="s">
        <v>185</v>
      </c>
      <c r="H105" s="475" t="s">
        <v>187</v>
      </c>
      <c r="J105" s="473">
        <v>18</v>
      </c>
      <c r="K105" s="475">
        <v>8459.9344000000001</v>
      </c>
    </row>
    <row r="106" spans="1:11" x14ac:dyDescent="0.2">
      <c r="A106" s="472" t="s">
        <v>338</v>
      </c>
      <c r="B106" s="472" t="s">
        <v>345</v>
      </c>
      <c r="C106" s="473">
        <v>1682</v>
      </c>
      <c r="D106" s="474">
        <v>43095</v>
      </c>
      <c r="E106" s="475">
        <v>11881.75798</v>
      </c>
      <c r="F106" s="476" t="s">
        <v>183</v>
      </c>
      <c r="G106" s="475" t="s">
        <v>185</v>
      </c>
      <c r="H106" s="475" t="s">
        <v>187</v>
      </c>
      <c r="J106" s="473">
        <v>18</v>
      </c>
      <c r="K106" s="475">
        <v>8257.27</v>
      </c>
    </row>
    <row r="107" spans="1:11" x14ac:dyDescent="0.2">
      <c r="A107" s="472" t="s">
        <v>338</v>
      </c>
      <c r="B107" s="472" t="s">
        <v>345</v>
      </c>
      <c r="C107" s="473">
        <v>1682</v>
      </c>
      <c r="D107" s="474">
        <v>43095</v>
      </c>
      <c r="E107" s="475">
        <v>11881.75798</v>
      </c>
      <c r="F107" s="476" t="s">
        <v>183</v>
      </c>
      <c r="G107" s="475" t="s">
        <v>185</v>
      </c>
      <c r="H107" s="475" t="s">
        <v>187</v>
      </c>
      <c r="J107" s="473">
        <v>12</v>
      </c>
      <c r="K107" s="475">
        <v>1909.09</v>
      </c>
    </row>
    <row r="108" spans="1:11" x14ac:dyDescent="0.2">
      <c r="A108" s="472" t="s">
        <v>338</v>
      </c>
      <c r="B108" s="472" t="s">
        <v>350</v>
      </c>
      <c r="C108" s="473">
        <v>1683</v>
      </c>
      <c r="D108" s="474">
        <v>43095</v>
      </c>
      <c r="E108" s="475">
        <v>8765.2127600000003</v>
      </c>
      <c r="F108" s="476" t="s">
        <v>183</v>
      </c>
      <c r="G108" s="475" t="s">
        <v>185</v>
      </c>
      <c r="H108" s="475" t="s">
        <v>187</v>
      </c>
      <c r="J108" s="473">
        <v>18</v>
      </c>
      <c r="K108" s="475">
        <v>7428.1463999999996</v>
      </c>
    </row>
    <row r="109" spans="1:11" x14ac:dyDescent="0.2">
      <c r="A109" s="472" t="s">
        <v>338</v>
      </c>
      <c r="B109" s="472" t="s">
        <v>345</v>
      </c>
      <c r="C109" s="473">
        <v>1684</v>
      </c>
      <c r="D109" s="474">
        <v>43095</v>
      </c>
      <c r="E109" s="475">
        <v>11093.5293</v>
      </c>
      <c r="F109" s="476" t="s">
        <v>183</v>
      </c>
      <c r="G109" s="475" t="s">
        <v>185</v>
      </c>
      <c r="H109" s="475" t="s">
        <v>187</v>
      </c>
      <c r="J109" s="473">
        <v>18</v>
      </c>
      <c r="K109" s="475">
        <v>3243.71</v>
      </c>
    </row>
    <row r="110" spans="1:11" x14ac:dyDescent="0.2">
      <c r="A110" s="472" t="s">
        <v>338</v>
      </c>
      <c r="B110" s="472" t="s">
        <v>345</v>
      </c>
      <c r="C110" s="473">
        <v>1684</v>
      </c>
      <c r="D110" s="474">
        <v>43095</v>
      </c>
      <c r="E110" s="475">
        <v>11093.5293</v>
      </c>
      <c r="F110" s="476" t="s">
        <v>183</v>
      </c>
      <c r="G110" s="475" t="s">
        <v>185</v>
      </c>
      <c r="H110" s="475" t="s">
        <v>187</v>
      </c>
      <c r="J110" s="473">
        <v>12</v>
      </c>
      <c r="K110" s="475">
        <v>5536.36</v>
      </c>
    </row>
    <row r="111" spans="1:11" x14ac:dyDescent="0.2">
      <c r="A111" s="472" t="s">
        <v>338</v>
      </c>
      <c r="B111" s="472" t="s">
        <v>345</v>
      </c>
      <c r="C111" s="473">
        <v>1684</v>
      </c>
      <c r="D111" s="474">
        <v>43095</v>
      </c>
      <c r="E111" s="475">
        <v>11093.5293</v>
      </c>
      <c r="F111" s="476" t="s">
        <v>183</v>
      </c>
      <c r="G111" s="475" t="s">
        <v>185</v>
      </c>
      <c r="H111" s="475" t="s">
        <v>187</v>
      </c>
      <c r="J111" s="473">
        <v>5</v>
      </c>
      <c r="K111" s="475">
        <v>1014.5</v>
      </c>
    </row>
    <row r="112" spans="1:11" x14ac:dyDescent="0.2">
      <c r="A112" s="472" t="s">
        <v>338</v>
      </c>
      <c r="B112" s="472" t="s">
        <v>345</v>
      </c>
      <c r="C112" s="473">
        <v>1685</v>
      </c>
      <c r="D112" s="474">
        <v>43095</v>
      </c>
      <c r="E112" s="475">
        <v>9955.8626800000002</v>
      </c>
      <c r="F112" s="476" t="s">
        <v>183</v>
      </c>
      <c r="G112" s="475" t="s">
        <v>185</v>
      </c>
      <c r="H112" s="475" t="s">
        <v>187</v>
      </c>
      <c r="J112" s="473">
        <v>18</v>
      </c>
      <c r="K112" s="475">
        <v>3454.1200000000008</v>
      </c>
    </row>
    <row r="113" spans="1:11" x14ac:dyDescent="0.2">
      <c r="A113" s="472" t="s">
        <v>338</v>
      </c>
      <c r="B113" s="472" t="s">
        <v>345</v>
      </c>
      <c r="C113" s="473">
        <v>1685</v>
      </c>
      <c r="D113" s="474">
        <v>43095</v>
      </c>
      <c r="E113" s="475">
        <v>9955.8626800000002</v>
      </c>
      <c r="F113" s="476" t="s">
        <v>183</v>
      </c>
      <c r="G113" s="475" t="s">
        <v>185</v>
      </c>
      <c r="H113" s="475" t="s">
        <v>187</v>
      </c>
      <c r="J113" s="473">
        <v>12</v>
      </c>
      <c r="K113" s="475">
        <v>5250</v>
      </c>
    </row>
    <row r="114" spans="1:11" x14ac:dyDescent="0.2">
      <c r="A114" s="472" t="s">
        <v>338</v>
      </c>
      <c r="B114" s="472" t="s">
        <v>345</v>
      </c>
      <c r="C114" s="473">
        <v>1686</v>
      </c>
      <c r="D114" s="474">
        <v>43095</v>
      </c>
      <c r="E114" s="475">
        <v>18431.28542</v>
      </c>
      <c r="F114" s="476" t="s">
        <v>183</v>
      </c>
      <c r="G114" s="475" t="s">
        <v>185</v>
      </c>
      <c r="H114" s="475" t="s">
        <v>187</v>
      </c>
      <c r="J114" s="473">
        <v>18</v>
      </c>
      <c r="K114" s="475">
        <v>15619.733399999999</v>
      </c>
    </row>
    <row r="115" spans="1:11" x14ac:dyDescent="0.2">
      <c r="A115" s="472" t="s">
        <v>338</v>
      </c>
      <c r="B115" s="472" t="s">
        <v>345</v>
      </c>
      <c r="C115" s="473">
        <v>1687</v>
      </c>
      <c r="D115" s="474">
        <v>43097</v>
      </c>
      <c r="E115" s="475">
        <v>15045.598</v>
      </c>
      <c r="F115" s="476" t="s">
        <v>183</v>
      </c>
      <c r="G115" s="475" t="s">
        <v>185</v>
      </c>
      <c r="H115" s="475" t="s">
        <v>187</v>
      </c>
      <c r="J115" s="473">
        <v>18</v>
      </c>
      <c r="K115" s="475">
        <v>9126.4500000000007</v>
      </c>
    </row>
    <row r="116" spans="1:11" x14ac:dyDescent="0.2">
      <c r="A116" s="472" t="s">
        <v>338</v>
      </c>
      <c r="B116" s="472" t="s">
        <v>345</v>
      </c>
      <c r="C116" s="473">
        <v>1687</v>
      </c>
      <c r="D116" s="474">
        <v>43097</v>
      </c>
      <c r="E116" s="475">
        <v>15045.598</v>
      </c>
      <c r="F116" s="476" t="s">
        <v>183</v>
      </c>
      <c r="G116" s="475" t="s">
        <v>185</v>
      </c>
      <c r="H116" s="475" t="s">
        <v>187</v>
      </c>
      <c r="J116" s="473">
        <v>12</v>
      </c>
      <c r="K116" s="475">
        <v>3818.2</v>
      </c>
    </row>
    <row r="117" spans="1:11" x14ac:dyDescent="0.2">
      <c r="A117" s="477" t="s">
        <v>342</v>
      </c>
      <c r="B117" s="472" t="s">
        <v>349</v>
      </c>
      <c r="C117" s="473">
        <v>1688</v>
      </c>
      <c r="D117" s="474">
        <v>43097</v>
      </c>
      <c r="E117" s="475">
        <v>10643.485000000001</v>
      </c>
      <c r="F117" s="476" t="s">
        <v>183</v>
      </c>
      <c r="G117" s="475" t="s">
        <v>185</v>
      </c>
      <c r="H117" s="475" t="s">
        <v>187</v>
      </c>
      <c r="J117" s="473">
        <v>18</v>
      </c>
      <c r="K117" s="475">
        <v>9019.9009999999998</v>
      </c>
    </row>
    <row r="118" spans="1:11" x14ac:dyDescent="0.2">
      <c r="A118" s="472" t="s">
        <v>338</v>
      </c>
      <c r="B118" s="472" t="s">
        <v>345</v>
      </c>
      <c r="C118" s="473">
        <v>1689</v>
      </c>
      <c r="D118" s="474">
        <v>43097</v>
      </c>
      <c r="E118" s="475">
        <v>17377.921999999999</v>
      </c>
      <c r="F118" s="476" t="s">
        <v>183</v>
      </c>
      <c r="G118" s="475" t="s">
        <v>185</v>
      </c>
      <c r="H118" s="475" t="s">
        <v>187</v>
      </c>
      <c r="J118" s="473">
        <v>18</v>
      </c>
      <c r="K118" s="475">
        <v>14727.052</v>
      </c>
    </row>
    <row r="119" spans="1:11" x14ac:dyDescent="0.2">
      <c r="A119" s="472" t="s">
        <v>338</v>
      </c>
      <c r="B119" s="472" t="s">
        <v>345</v>
      </c>
      <c r="C119" s="473">
        <v>1690</v>
      </c>
      <c r="D119" s="474">
        <v>43097</v>
      </c>
      <c r="E119" s="475">
        <v>11385.362999999999</v>
      </c>
      <c r="F119" s="476" t="s">
        <v>183</v>
      </c>
      <c r="G119" s="475" t="s">
        <v>185</v>
      </c>
      <c r="H119" s="475" t="s">
        <v>187</v>
      </c>
      <c r="J119" s="473">
        <v>18</v>
      </c>
      <c r="K119" s="475">
        <v>9648.6110000000008</v>
      </c>
    </row>
    <row r="120" spans="1:11" x14ac:dyDescent="0.2">
      <c r="A120" s="477" t="s">
        <v>338</v>
      </c>
      <c r="B120" s="472" t="s">
        <v>348</v>
      </c>
      <c r="C120" s="473">
        <v>1691</v>
      </c>
      <c r="D120" s="474">
        <v>43097</v>
      </c>
      <c r="E120" s="475">
        <v>1626</v>
      </c>
      <c r="F120" s="476" t="s">
        <v>183</v>
      </c>
      <c r="G120" s="475" t="s">
        <v>185</v>
      </c>
      <c r="H120" s="475" t="s">
        <v>187</v>
      </c>
      <c r="J120" s="473">
        <v>18</v>
      </c>
      <c r="K120" s="475">
        <v>1377.96</v>
      </c>
    </row>
    <row r="121" spans="1:11" x14ac:dyDescent="0.2">
      <c r="A121" s="472" t="s">
        <v>338</v>
      </c>
      <c r="B121" s="472" t="s">
        <v>345</v>
      </c>
      <c r="C121" s="473">
        <v>1692</v>
      </c>
      <c r="D121" s="474">
        <v>43097</v>
      </c>
      <c r="E121" s="475">
        <v>6032.8829999999998</v>
      </c>
      <c r="F121" s="476" t="s">
        <v>183</v>
      </c>
      <c r="G121" s="475" t="s">
        <v>185</v>
      </c>
      <c r="H121" s="475" t="s">
        <v>187</v>
      </c>
      <c r="J121" s="473">
        <v>18</v>
      </c>
      <c r="K121" s="475">
        <v>5112.6109999999999</v>
      </c>
    </row>
    <row r="122" spans="1:11" x14ac:dyDescent="0.2">
      <c r="A122" s="472" t="s">
        <v>338</v>
      </c>
      <c r="B122" s="472" t="s">
        <v>345</v>
      </c>
      <c r="C122" s="473">
        <v>1693</v>
      </c>
      <c r="D122" s="474">
        <v>43098</v>
      </c>
      <c r="E122" s="475">
        <v>15360.411</v>
      </c>
      <c r="F122" s="476" t="s">
        <v>183</v>
      </c>
      <c r="G122" s="475" t="s">
        <v>185</v>
      </c>
      <c r="H122" s="475" t="s">
        <v>187</v>
      </c>
      <c r="J122" s="473">
        <v>18</v>
      </c>
      <c r="K122" s="475">
        <v>13017.297</v>
      </c>
    </row>
    <row r="123" spans="1:11" x14ac:dyDescent="0.2">
      <c r="A123" s="472" t="s">
        <v>338</v>
      </c>
      <c r="B123" s="472" t="s">
        <v>345</v>
      </c>
      <c r="C123" s="473">
        <v>1694</v>
      </c>
      <c r="D123" s="474">
        <v>43098</v>
      </c>
      <c r="E123" s="475">
        <v>22445.86</v>
      </c>
      <c r="F123" s="476" t="s">
        <v>183</v>
      </c>
      <c r="G123" s="475" t="s">
        <v>185</v>
      </c>
      <c r="H123" s="475" t="s">
        <v>187</v>
      </c>
      <c r="J123" s="473">
        <v>18</v>
      </c>
      <c r="K123" s="475">
        <v>18164.440000000002</v>
      </c>
    </row>
    <row r="124" spans="1:11" x14ac:dyDescent="0.2">
      <c r="A124" s="472" t="s">
        <v>338</v>
      </c>
      <c r="B124" s="472" t="s">
        <v>345</v>
      </c>
      <c r="C124" s="473">
        <v>1694</v>
      </c>
      <c r="D124" s="474">
        <v>43098</v>
      </c>
      <c r="E124" s="475">
        <v>22445.86</v>
      </c>
      <c r="F124" s="476" t="s">
        <v>183</v>
      </c>
      <c r="G124" s="475" t="s">
        <v>185</v>
      </c>
      <c r="H124" s="475" t="s">
        <v>187</v>
      </c>
      <c r="J124" s="473">
        <v>12</v>
      </c>
      <c r="K124" s="475">
        <v>954.55</v>
      </c>
    </row>
    <row r="125" spans="1:11" x14ac:dyDescent="0.2">
      <c r="A125" s="472" t="s">
        <v>338</v>
      </c>
      <c r="B125" s="472" t="s">
        <v>345</v>
      </c>
      <c r="C125" s="473">
        <v>1695</v>
      </c>
      <c r="D125" s="474">
        <v>43098</v>
      </c>
      <c r="E125" s="475">
        <v>34810.06</v>
      </c>
      <c r="F125" s="476" t="s">
        <v>183</v>
      </c>
      <c r="G125" s="475" t="s">
        <v>185</v>
      </c>
      <c r="H125" s="475" t="s">
        <v>187</v>
      </c>
      <c r="J125" s="473">
        <v>18</v>
      </c>
      <c r="K125" s="475">
        <v>22078.59</v>
      </c>
    </row>
    <row r="126" spans="1:11" x14ac:dyDescent="0.2">
      <c r="A126" s="472" t="s">
        <v>338</v>
      </c>
      <c r="B126" s="472" t="s">
        <v>345</v>
      </c>
      <c r="C126" s="473">
        <v>1695</v>
      </c>
      <c r="D126" s="474">
        <v>43098</v>
      </c>
      <c r="E126" s="475">
        <v>34810.06</v>
      </c>
      <c r="F126" s="476" t="s">
        <v>183</v>
      </c>
      <c r="G126" s="475" t="s">
        <v>185</v>
      </c>
      <c r="H126" s="475" t="s">
        <v>187</v>
      </c>
      <c r="J126" s="473">
        <v>12</v>
      </c>
      <c r="K126" s="475">
        <v>7109.3</v>
      </c>
    </row>
    <row r="127" spans="1:11" x14ac:dyDescent="0.2">
      <c r="A127" s="472" t="s">
        <v>338</v>
      </c>
      <c r="B127" s="472" t="s">
        <v>345</v>
      </c>
      <c r="C127" s="473">
        <v>1695</v>
      </c>
      <c r="D127" s="474">
        <v>43098</v>
      </c>
      <c r="E127" s="475">
        <v>34810.06</v>
      </c>
      <c r="F127" s="476" t="s">
        <v>183</v>
      </c>
      <c r="G127" s="475" t="s">
        <v>185</v>
      </c>
      <c r="H127" s="475" t="s">
        <v>187</v>
      </c>
      <c r="J127" s="473">
        <v>5</v>
      </c>
      <c r="K127" s="475">
        <v>811.6</v>
      </c>
    </row>
    <row r="128" spans="1:11" x14ac:dyDescent="0.2">
      <c r="A128" s="472" t="s">
        <v>338</v>
      </c>
      <c r="B128" s="472" t="s">
        <v>345</v>
      </c>
      <c r="C128" s="473">
        <v>1696</v>
      </c>
      <c r="D128" s="474">
        <v>43099</v>
      </c>
      <c r="E128" s="475">
        <v>23270.682000000001</v>
      </c>
      <c r="F128" s="476" t="s">
        <v>183</v>
      </c>
      <c r="G128" s="475" t="s">
        <v>185</v>
      </c>
      <c r="H128" s="475" t="s">
        <v>187</v>
      </c>
      <c r="J128" s="473">
        <v>18</v>
      </c>
      <c r="K128" s="475">
        <v>19720.916000000001</v>
      </c>
    </row>
    <row r="129" spans="1:11" x14ac:dyDescent="0.2">
      <c r="A129" s="472" t="s">
        <v>338</v>
      </c>
      <c r="B129" s="472" t="s">
        <v>345</v>
      </c>
      <c r="C129" s="473">
        <v>1697</v>
      </c>
      <c r="D129" s="474">
        <v>43099</v>
      </c>
      <c r="E129" s="475">
        <v>20370.921999999999</v>
      </c>
      <c r="F129" s="476" t="s">
        <v>183</v>
      </c>
      <c r="G129" s="475" t="s">
        <v>185</v>
      </c>
      <c r="H129" s="475" t="s">
        <v>187</v>
      </c>
      <c r="J129" s="473">
        <v>18</v>
      </c>
      <c r="K129" s="475">
        <v>17263.491999999998</v>
      </c>
    </row>
    <row r="130" spans="1:11" x14ac:dyDescent="0.2">
      <c r="A130" s="472" t="s">
        <v>338</v>
      </c>
      <c r="B130" s="472" t="s">
        <v>345</v>
      </c>
      <c r="C130" s="473">
        <v>1698</v>
      </c>
      <c r="D130" s="474">
        <v>43099</v>
      </c>
      <c r="E130" s="475">
        <v>25896.361000000001</v>
      </c>
      <c r="F130" s="476" t="s">
        <v>183</v>
      </c>
      <c r="G130" s="475" t="s">
        <v>185</v>
      </c>
      <c r="H130" s="475" t="s">
        <v>187</v>
      </c>
      <c r="J130" s="473">
        <v>18</v>
      </c>
      <c r="K130" s="475">
        <v>19300.830000000002</v>
      </c>
    </row>
    <row r="131" spans="1:11" x14ac:dyDescent="0.2">
      <c r="A131" s="472" t="s">
        <v>338</v>
      </c>
      <c r="B131" s="472" t="s">
        <v>345</v>
      </c>
      <c r="C131" s="473">
        <v>1698</v>
      </c>
      <c r="D131" s="474">
        <v>43099</v>
      </c>
      <c r="E131" s="475">
        <v>25896.361000000001</v>
      </c>
      <c r="F131" s="476" t="s">
        <v>183</v>
      </c>
      <c r="G131" s="475" t="s">
        <v>185</v>
      </c>
      <c r="H131" s="475" t="s">
        <v>187</v>
      </c>
      <c r="J131" s="473">
        <v>12</v>
      </c>
      <c r="K131" s="475">
        <v>2863.6499999999996</v>
      </c>
    </row>
    <row r="132" spans="1:11" x14ac:dyDescent="0.2">
      <c r="A132" s="472" t="s">
        <v>338</v>
      </c>
      <c r="B132" s="472" t="s">
        <v>345</v>
      </c>
      <c r="C132" s="473">
        <v>1699</v>
      </c>
      <c r="D132" s="474">
        <v>43103</v>
      </c>
      <c r="E132" s="475">
        <v>7544.8829999999998</v>
      </c>
      <c r="F132" s="476" t="s">
        <v>183</v>
      </c>
      <c r="G132" s="475" t="s">
        <v>185</v>
      </c>
      <c r="H132" s="475" t="s">
        <v>187</v>
      </c>
      <c r="J132" s="473">
        <v>18</v>
      </c>
      <c r="K132" s="475">
        <v>6393.9669999999996</v>
      </c>
    </row>
    <row r="133" spans="1:11" x14ac:dyDescent="0.2">
      <c r="A133" s="472" t="s">
        <v>338</v>
      </c>
      <c r="B133" s="472" t="s">
        <v>345</v>
      </c>
      <c r="C133" s="473">
        <v>1700</v>
      </c>
      <c r="D133" s="474">
        <v>43104</v>
      </c>
      <c r="E133" s="475">
        <v>4435.201</v>
      </c>
      <c r="F133" s="476" t="s">
        <v>183</v>
      </c>
      <c r="G133" s="475" t="s">
        <v>185</v>
      </c>
      <c r="H133" s="475" t="s">
        <v>187</v>
      </c>
      <c r="J133" s="473">
        <v>18</v>
      </c>
      <c r="K133" s="475">
        <v>3758.645</v>
      </c>
    </row>
    <row r="134" spans="1:11" x14ac:dyDescent="0.2">
      <c r="A134" s="472" t="s">
        <v>338</v>
      </c>
      <c r="B134" s="472" t="s">
        <v>345</v>
      </c>
      <c r="C134" s="473">
        <v>1701</v>
      </c>
      <c r="D134" s="474">
        <v>43104</v>
      </c>
      <c r="E134" s="475">
        <v>14283.361999999999</v>
      </c>
      <c r="F134" s="476" t="s">
        <v>183</v>
      </c>
      <c r="G134" s="475" t="s">
        <v>185</v>
      </c>
      <c r="H134" s="475" t="s">
        <v>187</v>
      </c>
      <c r="J134" s="473">
        <v>18</v>
      </c>
      <c r="K134" s="475">
        <v>12104.544</v>
      </c>
    </row>
    <row r="135" spans="1:11" x14ac:dyDescent="0.2">
      <c r="A135" s="472" t="s">
        <v>338</v>
      </c>
      <c r="B135" s="472" t="s">
        <v>345</v>
      </c>
      <c r="C135" s="473">
        <v>1702</v>
      </c>
      <c r="D135" s="474">
        <v>43104</v>
      </c>
      <c r="E135" s="475">
        <v>5282.0479999999998</v>
      </c>
      <c r="F135" s="476" t="s">
        <v>183</v>
      </c>
      <c r="G135" s="475" t="s">
        <v>185</v>
      </c>
      <c r="H135" s="475" t="s">
        <v>187</v>
      </c>
      <c r="J135" s="473">
        <v>18</v>
      </c>
      <c r="K135" s="475">
        <v>4476.3119999999999</v>
      </c>
    </row>
    <row r="136" spans="1:11" x14ac:dyDescent="0.2">
      <c r="A136" s="472" t="s">
        <v>338</v>
      </c>
      <c r="B136" s="472" t="s">
        <v>345</v>
      </c>
      <c r="C136" s="473">
        <v>1703</v>
      </c>
      <c r="D136" s="474">
        <v>43106</v>
      </c>
      <c r="E136" s="475">
        <v>22210.335999999999</v>
      </c>
      <c r="F136" s="476" t="s">
        <v>183</v>
      </c>
      <c r="G136" s="475" t="s">
        <v>185</v>
      </c>
      <c r="H136" s="475" t="s">
        <v>187</v>
      </c>
      <c r="J136" s="473">
        <v>18</v>
      </c>
      <c r="K136" s="475">
        <v>17383.72</v>
      </c>
    </row>
    <row r="137" spans="1:11" x14ac:dyDescent="0.2">
      <c r="A137" s="472" t="s">
        <v>338</v>
      </c>
      <c r="B137" s="472" t="s">
        <v>345</v>
      </c>
      <c r="C137" s="473">
        <v>1703</v>
      </c>
      <c r="D137" s="474">
        <v>43106</v>
      </c>
      <c r="E137" s="475">
        <v>22210.335999999999</v>
      </c>
      <c r="F137" s="476" t="s">
        <v>183</v>
      </c>
      <c r="G137" s="475" t="s">
        <v>185</v>
      </c>
      <c r="H137" s="475" t="s">
        <v>187</v>
      </c>
      <c r="J137" s="473">
        <v>12</v>
      </c>
      <c r="K137" s="475">
        <v>1515.66</v>
      </c>
    </row>
    <row r="138" spans="1:11" x14ac:dyDescent="0.2">
      <c r="A138" s="472" t="s">
        <v>338</v>
      </c>
      <c r="B138" s="472" t="s">
        <v>345</v>
      </c>
      <c r="C138" s="473">
        <v>1704</v>
      </c>
      <c r="D138" s="474">
        <v>43106</v>
      </c>
      <c r="E138" s="475">
        <v>16205.117</v>
      </c>
      <c r="F138" s="476" t="s">
        <v>183</v>
      </c>
      <c r="G138" s="475" t="s">
        <v>185</v>
      </c>
      <c r="H138" s="475" t="s">
        <v>187</v>
      </c>
      <c r="J138" s="473">
        <v>18</v>
      </c>
      <c r="K138" s="475">
        <v>13733.148999999999</v>
      </c>
    </row>
    <row r="139" spans="1:11" x14ac:dyDescent="0.2">
      <c r="A139" s="472" t="s">
        <v>338</v>
      </c>
      <c r="B139" s="472" t="s">
        <v>345</v>
      </c>
      <c r="C139" s="473">
        <v>1705</v>
      </c>
      <c r="D139" s="474">
        <v>43106</v>
      </c>
      <c r="E139" s="475">
        <v>8552.8829999999998</v>
      </c>
      <c r="F139" s="476" t="s">
        <v>183</v>
      </c>
      <c r="G139" s="475" t="s">
        <v>185</v>
      </c>
      <c r="H139" s="475" t="s">
        <v>187</v>
      </c>
      <c r="J139" s="473">
        <v>18</v>
      </c>
      <c r="K139" s="475">
        <v>7248.2049999999999</v>
      </c>
    </row>
    <row r="140" spans="1:11" x14ac:dyDescent="0.2">
      <c r="A140" s="472" t="s">
        <v>338</v>
      </c>
      <c r="B140" s="472" t="s">
        <v>345</v>
      </c>
      <c r="C140" s="473">
        <v>1706</v>
      </c>
      <c r="D140" s="474">
        <v>43106</v>
      </c>
      <c r="E140" s="475">
        <v>14238.003000000001</v>
      </c>
      <c r="F140" s="476" t="s">
        <v>183</v>
      </c>
      <c r="G140" s="475" t="s">
        <v>185</v>
      </c>
      <c r="H140" s="475" t="s">
        <v>187</v>
      </c>
      <c r="J140" s="473">
        <v>18</v>
      </c>
      <c r="K140" s="475">
        <v>12066.102999999999</v>
      </c>
    </row>
    <row r="141" spans="1:11" x14ac:dyDescent="0.2">
      <c r="A141" s="472" t="s">
        <v>338</v>
      </c>
      <c r="B141" s="472" t="s">
        <v>345</v>
      </c>
      <c r="C141" s="473">
        <v>1707</v>
      </c>
      <c r="D141" s="474">
        <v>43106</v>
      </c>
      <c r="E141" s="475">
        <v>1663.202</v>
      </c>
      <c r="F141" s="476" t="s">
        <v>183</v>
      </c>
      <c r="G141" s="475" t="s">
        <v>185</v>
      </c>
      <c r="H141" s="475" t="s">
        <v>187</v>
      </c>
      <c r="J141" s="473">
        <v>18</v>
      </c>
      <c r="K141" s="475">
        <v>1409.492</v>
      </c>
    </row>
    <row r="142" spans="1:11" x14ac:dyDescent="0.2">
      <c r="A142" s="472" t="s">
        <v>338</v>
      </c>
      <c r="B142" s="472" t="s">
        <v>345</v>
      </c>
      <c r="C142" s="473">
        <v>1708</v>
      </c>
      <c r="D142" s="474">
        <v>43106</v>
      </c>
      <c r="E142" s="475">
        <v>13436.641</v>
      </c>
      <c r="F142" s="476" t="s">
        <v>183</v>
      </c>
      <c r="G142" s="475" t="s">
        <v>185</v>
      </c>
      <c r="H142" s="475" t="s">
        <v>187</v>
      </c>
      <c r="J142" s="473">
        <v>18</v>
      </c>
      <c r="K142" s="475">
        <v>11386.983</v>
      </c>
    </row>
    <row r="143" spans="1:11" x14ac:dyDescent="0.2">
      <c r="A143" s="472" t="s">
        <v>338</v>
      </c>
      <c r="B143" s="472" t="s">
        <v>345</v>
      </c>
      <c r="C143" s="473">
        <v>1709</v>
      </c>
      <c r="D143" s="474">
        <v>43106</v>
      </c>
      <c r="E143" s="475">
        <v>15282.044</v>
      </c>
      <c r="F143" s="476" t="s">
        <v>183</v>
      </c>
      <c r="G143" s="475" t="s">
        <v>185</v>
      </c>
      <c r="H143" s="475" t="s">
        <v>187</v>
      </c>
      <c r="J143" s="473">
        <v>18</v>
      </c>
      <c r="K143" s="475">
        <v>12950.884</v>
      </c>
    </row>
    <row r="144" spans="1:11" x14ac:dyDescent="0.2">
      <c r="A144" s="472" t="s">
        <v>338</v>
      </c>
      <c r="B144" s="472" t="s">
        <v>345</v>
      </c>
      <c r="C144" s="473">
        <v>1710</v>
      </c>
      <c r="D144" s="474">
        <v>43108</v>
      </c>
      <c r="E144" s="475">
        <v>8053.92</v>
      </c>
      <c r="F144" s="476" t="s">
        <v>183</v>
      </c>
      <c r="G144" s="475" t="s">
        <v>185</v>
      </c>
      <c r="H144" s="475" t="s">
        <v>187</v>
      </c>
      <c r="J144" s="473">
        <v>18</v>
      </c>
      <c r="K144" s="475">
        <v>6825.36</v>
      </c>
    </row>
    <row r="145" spans="1:11" x14ac:dyDescent="0.2">
      <c r="A145" s="472" t="s">
        <v>338</v>
      </c>
      <c r="B145" s="472" t="s">
        <v>345</v>
      </c>
      <c r="C145" s="473">
        <v>1711</v>
      </c>
      <c r="D145" s="474">
        <v>43108</v>
      </c>
      <c r="E145" s="475">
        <v>12153.832</v>
      </c>
      <c r="F145" s="476" t="s">
        <v>183</v>
      </c>
      <c r="G145" s="475" t="s">
        <v>185</v>
      </c>
      <c r="H145" s="475" t="s">
        <v>187</v>
      </c>
      <c r="J145" s="473">
        <v>18</v>
      </c>
      <c r="K145" s="475">
        <v>10299.858</v>
      </c>
    </row>
    <row r="146" spans="1:11" x14ac:dyDescent="0.2">
      <c r="A146" s="472" t="s">
        <v>338</v>
      </c>
      <c r="B146" s="472" t="s">
        <v>345</v>
      </c>
      <c r="C146" s="473">
        <v>1712</v>
      </c>
      <c r="D146" s="474">
        <v>43108</v>
      </c>
      <c r="E146" s="475">
        <v>18542.325000000001</v>
      </c>
      <c r="F146" s="476" t="s">
        <v>183</v>
      </c>
      <c r="G146" s="475" t="s">
        <v>185</v>
      </c>
      <c r="H146" s="475" t="s">
        <v>187</v>
      </c>
      <c r="J146" s="473">
        <v>18</v>
      </c>
      <c r="K146" s="475">
        <v>15713.834999999999</v>
      </c>
    </row>
    <row r="147" spans="1:11" x14ac:dyDescent="0.2">
      <c r="A147" s="472" t="s">
        <v>338</v>
      </c>
      <c r="B147" s="472" t="s">
        <v>345</v>
      </c>
      <c r="C147" s="473">
        <v>1713</v>
      </c>
      <c r="D147" s="474">
        <v>43108</v>
      </c>
      <c r="E147" s="475">
        <v>8033.7610000000004</v>
      </c>
      <c r="F147" s="476" t="s">
        <v>183</v>
      </c>
      <c r="G147" s="475" t="s">
        <v>185</v>
      </c>
      <c r="H147" s="475" t="s">
        <v>187</v>
      </c>
      <c r="J147" s="473">
        <v>18</v>
      </c>
      <c r="K147" s="475">
        <v>6808.2709999999997</v>
      </c>
    </row>
    <row r="148" spans="1:11" x14ac:dyDescent="0.2">
      <c r="A148" s="472" t="s">
        <v>338</v>
      </c>
      <c r="B148" s="472" t="s">
        <v>345</v>
      </c>
      <c r="C148" s="473">
        <v>1714</v>
      </c>
      <c r="D148" s="474">
        <v>43109</v>
      </c>
      <c r="E148" s="475">
        <v>6436.0820000000003</v>
      </c>
      <c r="F148" s="476" t="s">
        <v>183</v>
      </c>
      <c r="G148" s="475" t="s">
        <v>185</v>
      </c>
      <c r="H148" s="475" t="s">
        <v>187</v>
      </c>
      <c r="J148" s="473">
        <v>18</v>
      </c>
      <c r="K148" s="475">
        <v>5454.3059999999996</v>
      </c>
    </row>
    <row r="149" spans="1:11" x14ac:dyDescent="0.2">
      <c r="A149" s="472" t="s">
        <v>338</v>
      </c>
      <c r="B149" s="472" t="s">
        <v>345</v>
      </c>
      <c r="C149" s="473">
        <v>1715</v>
      </c>
      <c r="D149" s="474">
        <v>43109</v>
      </c>
      <c r="E149" s="475">
        <v>6491.52</v>
      </c>
      <c r="F149" s="476" t="s">
        <v>183</v>
      </c>
      <c r="G149" s="475" t="s">
        <v>185</v>
      </c>
      <c r="H149" s="475" t="s">
        <v>187</v>
      </c>
      <c r="J149" s="473">
        <v>18</v>
      </c>
      <c r="K149" s="475">
        <v>5501.29</v>
      </c>
    </row>
    <row r="150" spans="1:11" x14ac:dyDescent="0.2">
      <c r="A150" s="472" t="s">
        <v>338</v>
      </c>
      <c r="B150" s="472" t="s">
        <v>345</v>
      </c>
      <c r="C150" s="473">
        <v>1716</v>
      </c>
      <c r="D150" s="474">
        <v>43109</v>
      </c>
      <c r="E150" s="475">
        <v>11225.46</v>
      </c>
      <c r="F150" s="476" t="s">
        <v>183</v>
      </c>
      <c r="G150" s="475" t="s">
        <v>185</v>
      </c>
      <c r="H150" s="475" t="s">
        <v>187</v>
      </c>
      <c r="J150" s="473">
        <v>12</v>
      </c>
      <c r="K150" s="475">
        <v>10022.732</v>
      </c>
    </row>
    <row r="151" spans="1:11" x14ac:dyDescent="0.2">
      <c r="A151" s="472" t="s">
        <v>338</v>
      </c>
      <c r="B151" s="472" t="s">
        <v>345</v>
      </c>
      <c r="C151" s="473">
        <v>1717</v>
      </c>
      <c r="D151" s="474">
        <v>43109</v>
      </c>
      <c r="E151" s="475">
        <v>3013.922</v>
      </c>
      <c r="F151" s="476" t="s">
        <v>183</v>
      </c>
      <c r="G151" s="475" t="s">
        <v>185</v>
      </c>
      <c r="H151" s="475" t="s">
        <v>187</v>
      </c>
      <c r="J151" s="473">
        <v>18</v>
      </c>
      <c r="K151" s="475">
        <v>2554.17</v>
      </c>
    </row>
    <row r="152" spans="1:11" x14ac:dyDescent="0.2">
      <c r="A152" s="472" t="s">
        <v>338</v>
      </c>
      <c r="B152" s="472" t="s">
        <v>345</v>
      </c>
      <c r="C152" s="473">
        <v>1718</v>
      </c>
      <c r="D152" s="474">
        <v>43109</v>
      </c>
      <c r="E152" s="475">
        <v>15266.377</v>
      </c>
      <c r="F152" s="476" t="s">
        <v>183</v>
      </c>
      <c r="G152" s="475" t="s">
        <v>185</v>
      </c>
      <c r="H152" s="475" t="s">
        <v>187</v>
      </c>
      <c r="J152" s="473">
        <v>18</v>
      </c>
      <c r="K152" s="475">
        <v>11125.59</v>
      </c>
    </row>
    <row r="153" spans="1:11" x14ac:dyDescent="0.2">
      <c r="A153" s="472" t="s">
        <v>338</v>
      </c>
      <c r="B153" s="472" t="s">
        <v>345</v>
      </c>
      <c r="C153" s="473">
        <v>1718</v>
      </c>
      <c r="D153" s="474">
        <v>43109</v>
      </c>
      <c r="E153" s="475">
        <v>15266.377</v>
      </c>
      <c r="F153" s="476" t="s">
        <v>183</v>
      </c>
      <c r="G153" s="475" t="s">
        <v>185</v>
      </c>
      <c r="H153" s="475" t="s">
        <v>187</v>
      </c>
      <c r="J153" s="473">
        <v>12</v>
      </c>
      <c r="K153" s="475">
        <v>1909.09</v>
      </c>
    </row>
    <row r="154" spans="1:11" x14ac:dyDescent="0.2">
      <c r="A154" s="472" t="s">
        <v>338</v>
      </c>
      <c r="B154" s="472" t="s">
        <v>345</v>
      </c>
      <c r="C154" s="473">
        <v>1719</v>
      </c>
      <c r="D154" s="474">
        <v>43109</v>
      </c>
      <c r="E154" s="475">
        <v>11586.960999999999</v>
      </c>
      <c r="F154" s="476" t="s">
        <v>183</v>
      </c>
      <c r="G154" s="475" t="s">
        <v>185</v>
      </c>
      <c r="H154" s="475" t="s">
        <v>187</v>
      </c>
      <c r="J154" s="473">
        <v>18</v>
      </c>
      <c r="K154" s="475">
        <v>9819.4590000000007</v>
      </c>
    </row>
    <row r="155" spans="1:11" x14ac:dyDescent="0.2">
      <c r="A155" s="472" t="s">
        <v>338</v>
      </c>
      <c r="B155" s="472" t="s">
        <v>345</v>
      </c>
      <c r="C155" s="473">
        <v>1720</v>
      </c>
      <c r="D155" s="474">
        <v>43109</v>
      </c>
      <c r="E155" s="475">
        <v>6358.9709999999995</v>
      </c>
      <c r="F155" s="476" t="s">
        <v>183</v>
      </c>
      <c r="G155" s="475" t="s">
        <v>185</v>
      </c>
      <c r="H155" s="475" t="s">
        <v>187</v>
      </c>
      <c r="J155" s="473">
        <v>18</v>
      </c>
      <c r="K155" s="475">
        <v>5388.9589999999998</v>
      </c>
    </row>
    <row r="156" spans="1:11" x14ac:dyDescent="0.2">
      <c r="A156" s="472" t="s">
        <v>338</v>
      </c>
      <c r="B156" s="472" t="s">
        <v>345</v>
      </c>
      <c r="C156" s="473">
        <v>1721</v>
      </c>
      <c r="D156" s="474">
        <v>43111</v>
      </c>
      <c r="E156" s="475">
        <v>2138.1799999999998</v>
      </c>
      <c r="F156" s="476" t="s">
        <v>183</v>
      </c>
      <c r="G156" s="475" t="s">
        <v>185</v>
      </c>
      <c r="H156" s="475" t="s">
        <v>187</v>
      </c>
      <c r="J156" s="473">
        <v>12</v>
      </c>
      <c r="K156" s="475">
        <v>1909.09</v>
      </c>
    </row>
    <row r="157" spans="1:11" x14ac:dyDescent="0.2">
      <c r="A157" s="472" t="s">
        <v>338</v>
      </c>
      <c r="B157" s="472" t="s">
        <v>345</v>
      </c>
      <c r="C157" s="473">
        <v>1722</v>
      </c>
      <c r="D157" s="474">
        <v>43111</v>
      </c>
      <c r="E157" s="475">
        <v>3207.2730000000001</v>
      </c>
      <c r="F157" s="476" t="s">
        <v>183</v>
      </c>
      <c r="G157" s="475" t="s">
        <v>185</v>
      </c>
      <c r="H157" s="475" t="s">
        <v>187</v>
      </c>
      <c r="J157" s="473">
        <v>12</v>
      </c>
      <c r="K157" s="475">
        <v>2863.6370000000002</v>
      </c>
    </row>
    <row r="158" spans="1:11" x14ac:dyDescent="0.2">
      <c r="A158" s="472" t="s">
        <v>338</v>
      </c>
      <c r="B158" s="472" t="s">
        <v>345</v>
      </c>
      <c r="C158" s="473">
        <v>1723</v>
      </c>
      <c r="D158" s="474">
        <v>43113</v>
      </c>
      <c r="E158" s="475">
        <v>12722.73</v>
      </c>
      <c r="F158" s="476" t="s">
        <v>183</v>
      </c>
      <c r="G158" s="475" t="s">
        <v>185</v>
      </c>
      <c r="H158" s="475" t="s">
        <v>187</v>
      </c>
      <c r="J158" s="473">
        <v>18</v>
      </c>
      <c r="K158" s="475">
        <v>10781.97</v>
      </c>
    </row>
    <row r="159" spans="1:11" x14ac:dyDescent="0.2">
      <c r="A159" s="472" t="s">
        <v>338</v>
      </c>
      <c r="B159" s="472" t="s">
        <v>345</v>
      </c>
      <c r="C159" s="473">
        <v>1724</v>
      </c>
      <c r="D159" s="474">
        <v>43113</v>
      </c>
      <c r="E159" s="475">
        <v>6723.36</v>
      </c>
      <c r="F159" s="476" t="s">
        <v>183</v>
      </c>
      <c r="G159" s="475" t="s">
        <v>185</v>
      </c>
      <c r="H159" s="475" t="s">
        <v>187</v>
      </c>
      <c r="J159" s="473">
        <v>18</v>
      </c>
      <c r="K159" s="475">
        <v>5697.76</v>
      </c>
    </row>
    <row r="160" spans="1:11" x14ac:dyDescent="0.2">
      <c r="A160" s="472" t="s">
        <v>338</v>
      </c>
      <c r="B160" s="472" t="s">
        <v>345</v>
      </c>
      <c r="C160" s="473">
        <v>1725</v>
      </c>
      <c r="D160" s="474">
        <v>43118</v>
      </c>
      <c r="E160" s="475">
        <v>10488.24</v>
      </c>
      <c r="F160" s="476" t="s">
        <v>183</v>
      </c>
      <c r="G160" s="475" t="s">
        <v>185</v>
      </c>
      <c r="H160" s="475" t="s">
        <v>187</v>
      </c>
      <c r="J160" s="473">
        <v>18</v>
      </c>
      <c r="K160" s="475">
        <v>8888.34</v>
      </c>
    </row>
    <row r="161" spans="1:11" x14ac:dyDescent="0.2">
      <c r="A161" s="472" t="s">
        <v>338</v>
      </c>
      <c r="B161" s="472" t="s">
        <v>345</v>
      </c>
      <c r="C161" s="473">
        <v>1726</v>
      </c>
      <c r="D161" s="474">
        <v>43118</v>
      </c>
      <c r="E161" s="475">
        <v>6232.28</v>
      </c>
      <c r="F161" s="476" t="s">
        <v>183</v>
      </c>
      <c r="G161" s="475" t="s">
        <v>185</v>
      </c>
      <c r="H161" s="475" t="s">
        <v>187</v>
      </c>
      <c r="J161" s="473">
        <v>18</v>
      </c>
      <c r="K161" s="475">
        <v>2781.3899999999994</v>
      </c>
    </row>
    <row r="162" spans="1:11" x14ac:dyDescent="0.2">
      <c r="A162" s="472" t="s">
        <v>338</v>
      </c>
      <c r="B162" s="472" t="s">
        <v>345</v>
      </c>
      <c r="C162" s="473">
        <v>1726</v>
      </c>
      <c r="D162" s="474">
        <v>43118</v>
      </c>
      <c r="E162" s="475">
        <v>6232.28</v>
      </c>
      <c r="F162" s="476" t="s">
        <v>183</v>
      </c>
      <c r="G162" s="475" t="s">
        <v>185</v>
      </c>
      <c r="H162" s="475" t="s">
        <v>187</v>
      </c>
      <c r="J162" s="473">
        <v>12</v>
      </c>
      <c r="K162" s="475">
        <v>2063.4900000000002</v>
      </c>
    </row>
    <row r="163" spans="1:11" x14ac:dyDescent="0.2">
      <c r="A163" s="472" t="s">
        <v>338</v>
      </c>
      <c r="B163" s="472" t="s">
        <v>345</v>
      </c>
      <c r="C163" s="473">
        <v>1726</v>
      </c>
      <c r="D163" s="474">
        <v>43118</v>
      </c>
      <c r="E163" s="475">
        <v>6232.28</v>
      </c>
      <c r="F163" s="476" t="s">
        <v>183</v>
      </c>
      <c r="G163" s="475" t="s">
        <v>185</v>
      </c>
      <c r="H163" s="475" t="s">
        <v>187</v>
      </c>
      <c r="J163" s="473">
        <v>5</v>
      </c>
      <c r="K163" s="475">
        <v>608.70000000000005</v>
      </c>
    </row>
    <row r="164" spans="1:11" x14ac:dyDescent="0.2">
      <c r="A164" s="472" t="s">
        <v>338</v>
      </c>
      <c r="B164" s="472" t="s">
        <v>345</v>
      </c>
      <c r="C164" s="473">
        <v>1727</v>
      </c>
      <c r="D164" s="474">
        <v>43118</v>
      </c>
      <c r="E164" s="475">
        <v>12865.61</v>
      </c>
      <c r="F164" s="476" t="s">
        <v>183</v>
      </c>
      <c r="G164" s="475" t="s">
        <v>185</v>
      </c>
      <c r="H164" s="475" t="s">
        <v>187</v>
      </c>
      <c r="J164" s="473">
        <v>18</v>
      </c>
      <c r="K164" s="475">
        <v>10903.06</v>
      </c>
    </row>
    <row r="165" spans="1:11" x14ac:dyDescent="0.2">
      <c r="A165" s="472" t="s">
        <v>338</v>
      </c>
      <c r="B165" s="472" t="s">
        <v>345</v>
      </c>
      <c r="C165" s="473">
        <v>1728</v>
      </c>
      <c r="D165" s="474">
        <v>43120</v>
      </c>
      <c r="E165" s="475">
        <v>5881.68</v>
      </c>
      <c r="F165" s="476" t="s">
        <v>183</v>
      </c>
      <c r="G165" s="475" t="s">
        <v>185</v>
      </c>
      <c r="H165" s="475" t="s">
        <v>187</v>
      </c>
      <c r="J165" s="473">
        <v>18</v>
      </c>
      <c r="K165" s="475">
        <v>4984.4799999999996</v>
      </c>
    </row>
    <row r="166" spans="1:11" x14ac:dyDescent="0.2">
      <c r="A166" s="472" t="s">
        <v>338</v>
      </c>
      <c r="B166" s="472" t="s">
        <v>345</v>
      </c>
      <c r="C166" s="473">
        <v>1729</v>
      </c>
      <c r="D166" s="474">
        <v>43120</v>
      </c>
      <c r="E166" s="475">
        <v>13363.06</v>
      </c>
      <c r="F166" s="476" t="s">
        <v>183</v>
      </c>
      <c r="G166" s="475" t="s">
        <v>185</v>
      </c>
      <c r="H166" s="475" t="s">
        <v>187</v>
      </c>
      <c r="J166" s="473">
        <v>18</v>
      </c>
      <c r="K166" s="475">
        <v>8606.59</v>
      </c>
    </row>
    <row r="167" spans="1:11" x14ac:dyDescent="0.2">
      <c r="A167" s="472" t="s">
        <v>338</v>
      </c>
      <c r="B167" s="472" t="s">
        <v>345</v>
      </c>
      <c r="C167" s="473">
        <v>1729</v>
      </c>
      <c r="D167" s="474">
        <v>43120</v>
      </c>
      <c r="E167" s="475">
        <v>13363.06</v>
      </c>
      <c r="F167" s="476" t="s">
        <v>183</v>
      </c>
      <c r="G167" s="475" t="s">
        <v>185</v>
      </c>
      <c r="H167" s="475" t="s">
        <v>187</v>
      </c>
      <c r="J167" s="473">
        <v>12</v>
      </c>
      <c r="K167" s="475">
        <v>2863.6499999999996</v>
      </c>
    </row>
    <row r="168" spans="1:11" x14ac:dyDescent="0.2">
      <c r="A168" s="472" t="s">
        <v>338</v>
      </c>
      <c r="B168" s="472" t="s">
        <v>345</v>
      </c>
      <c r="C168" s="473">
        <v>1730</v>
      </c>
      <c r="D168" s="474">
        <v>43120</v>
      </c>
      <c r="E168" s="475">
        <v>13996.08</v>
      </c>
      <c r="F168" s="476" t="s">
        <v>183</v>
      </c>
      <c r="G168" s="475" t="s">
        <v>185</v>
      </c>
      <c r="H168" s="475" t="s">
        <v>187</v>
      </c>
      <c r="J168" s="473">
        <v>18</v>
      </c>
      <c r="K168" s="475">
        <v>11861.08</v>
      </c>
    </row>
    <row r="169" spans="1:11" x14ac:dyDescent="0.2">
      <c r="A169" s="472" t="s">
        <v>338</v>
      </c>
      <c r="B169" s="472" t="s">
        <v>345</v>
      </c>
      <c r="C169" s="473">
        <v>1731</v>
      </c>
      <c r="D169" s="474">
        <v>43122</v>
      </c>
      <c r="E169" s="475">
        <v>14762.16</v>
      </c>
      <c r="F169" s="476" t="s">
        <v>183</v>
      </c>
      <c r="G169" s="475" t="s">
        <v>185</v>
      </c>
      <c r="H169" s="475" t="s">
        <v>187</v>
      </c>
      <c r="J169" s="473">
        <v>18</v>
      </c>
      <c r="K169" s="475">
        <v>12510.3</v>
      </c>
    </row>
    <row r="170" spans="1:11" x14ac:dyDescent="0.2">
      <c r="A170" s="472" t="s">
        <v>338</v>
      </c>
      <c r="B170" s="472" t="s">
        <v>345</v>
      </c>
      <c r="C170" s="473">
        <v>1732</v>
      </c>
      <c r="D170" s="474">
        <v>43123</v>
      </c>
      <c r="E170" s="475">
        <v>24260.68</v>
      </c>
      <c r="F170" s="476" t="s">
        <v>183</v>
      </c>
      <c r="G170" s="475" t="s">
        <v>185</v>
      </c>
      <c r="H170" s="475" t="s">
        <v>187</v>
      </c>
      <c r="J170" s="473">
        <v>18</v>
      </c>
      <c r="K170" s="475">
        <v>15123.849999999999</v>
      </c>
    </row>
    <row r="171" spans="1:11" x14ac:dyDescent="0.2">
      <c r="A171" s="472" t="s">
        <v>338</v>
      </c>
      <c r="B171" s="472" t="s">
        <v>345</v>
      </c>
      <c r="C171" s="473">
        <v>1732</v>
      </c>
      <c r="D171" s="474">
        <v>43123</v>
      </c>
      <c r="E171" s="475">
        <v>24260.68</v>
      </c>
      <c r="F171" s="476" t="s">
        <v>183</v>
      </c>
      <c r="G171" s="475" t="s">
        <v>185</v>
      </c>
      <c r="H171" s="475" t="s">
        <v>187</v>
      </c>
      <c r="J171" s="473">
        <v>12</v>
      </c>
      <c r="K171" s="475">
        <v>5727.2699999999995</v>
      </c>
    </row>
    <row r="172" spans="1:11" x14ac:dyDescent="0.2">
      <c r="A172" s="472" t="s">
        <v>338</v>
      </c>
      <c r="B172" s="472" t="s">
        <v>345</v>
      </c>
      <c r="C172" s="473">
        <v>1733</v>
      </c>
      <c r="D172" s="474">
        <v>43124</v>
      </c>
      <c r="E172" s="475">
        <v>11128.2</v>
      </c>
      <c r="F172" s="476" t="s">
        <v>183</v>
      </c>
      <c r="G172" s="475" t="s">
        <v>185</v>
      </c>
      <c r="H172" s="475" t="s">
        <v>187</v>
      </c>
      <c r="J172" s="473">
        <v>18</v>
      </c>
      <c r="K172" s="475">
        <v>9430.68</v>
      </c>
    </row>
    <row r="173" spans="1:11" x14ac:dyDescent="0.2">
      <c r="A173" s="472" t="s">
        <v>338</v>
      </c>
      <c r="B173" s="472" t="s">
        <v>345</v>
      </c>
      <c r="C173" s="473">
        <v>1734</v>
      </c>
      <c r="D173" s="474">
        <v>43124</v>
      </c>
      <c r="E173" s="475">
        <v>5345.46</v>
      </c>
      <c r="F173" s="476" t="s">
        <v>183</v>
      </c>
      <c r="G173" s="475" t="s">
        <v>185</v>
      </c>
      <c r="H173" s="475" t="s">
        <v>187</v>
      </c>
      <c r="J173" s="473">
        <v>12</v>
      </c>
      <c r="K173" s="475">
        <v>4772.7299999999996</v>
      </c>
    </row>
    <row r="174" spans="1:11" x14ac:dyDescent="0.2">
      <c r="A174" s="472" t="s">
        <v>338</v>
      </c>
      <c r="B174" s="472" t="s">
        <v>345</v>
      </c>
      <c r="C174" s="473">
        <v>1735</v>
      </c>
      <c r="D174" s="474">
        <v>43124</v>
      </c>
      <c r="E174" s="475">
        <v>7035.84</v>
      </c>
      <c r="F174" s="476" t="s">
        <v>183</v>
      </c>
      <c r="G174" s="475" t="s">
        <v>185</v>
      </c>
      <c r="H174" s="475" t="s">
        <v>187</v>
      </c>
      <c r="J174" s="473">
        <v>18</v>
      </c>
      <c r="K174" s="475">
        <v>5962.58</v>
      </c>
    </row>
    <row r="175" spans="1:11" x14ac:dyDescent="0.2">
      <c r="A175" s="472" t="s">
        <v>338</v>
      </c>
      <c r="B175" s="472" t="s">
        <v>345</v>
      </c>
      <c r="C175" s="473">
        <v>1736</v>
      </c>
      <c r="D175" s="474">
        <v>43124</v>
      </c>
      <c r="E175" s="475">
        <v>10171.24</v>
      </c>
      <c r="F175" s="476" t="s">
        <v>183</v>
      </c>
      <c r="G175" s="475" t="s">
        <v>185</v>
      </c>
      <c r="H175" s="475" t="s">
        <v>187</v>
      </c>
      <c r="J175" s="473">
        <v>12</v>
      </c>
      <c r="K175" s="475">
        <v>9081.4599999999991</v>
      </c>
    </row>
    <row r="176" spans="1:11" x14ac:dyDescent="0.2">
      <c r="A176" s="472" t="s">
        <v>338</v>
      </c>
      <c r="B176" s="472" t="s">
        <v>345</v>
      </c>
      <c r="C176" s="473">
        <v>1737</v>
      </c>
      <c r="D176" s="474">
        <v>43124</v>
      </c>
      <c r="E176" s="475">
        <v>10099.66</v>
      </c>
      <c r="F176" s="476" t="s">
        <v>183</v>
      </c>
      <c r="G176" s="475" t="s">
        <v>185</v>
      </c>
      <c r="H176" s="475" t="s">
        <v>187</v>
      </c>
      <c r="J176" s="473">
        <v>12</v>
      </c>
      <c r="K176" s="475">
        <v>9017.5499999999993</v>
      </c>
    </row>
    <row r="177" spans="1:11" x14ac:dyDescent="0.2">
      <c r="A177" s="472" t="s">
        <v>338</v>
      </c>
      <c r="B177" s="472" t="s">
        <v>345</v>
      </c>
      <c r="C177" s="473">
        <v>1738</v>
      </c>
      <c r="D177" s="474">
        <v>43124</v>
      </c>
      <c r="E177" s="475">
        <v>8069.04</v>
      </c>
      <c r="F177" s="476" t="s">
        <v>183</v>
      </c>
      <c r="G177" s="475" t="s">
        <v>185</v>
      </c>
      <c r="H177" s="475" t="s">
        <v>187</v>
      </c>
      <c r="J177" s="473">
        <v>18</v>
      </c>
      <c r="K177" s="475">
        <v>6838.17</v>
      </c>
    </row>
    <row r="178" spans="1:11" x14ac:dyDescent="0.2">
      <c r="A178" s="472" t="s">
        <v>338</v>
      </c>
      <c r="B178" s="472" t="s">
        <v>345</v>
      </c>
      <c r="C178" s="473">
        <v>1739</v>
      </c>
      <c r="D178" s="474">
        <v>43124</v>
      </c>
      <c r="E178" s="475">
        <v>4102.55</v>
      </c>
      <c r="F178" s="476" t="s">
        <v>183</v>
      </c>
      <c r="G178" s="475" t="s">
        <v>185</v>
      </c>
      <c r="H178" s="475" t="s">
        <v>187</v>
      </c>
      <c r="J178" s="473">
        <v>18</v>
      </c>
      <c r="K178" s="475">
        <v>3476.74</v>
      </c>
    </row>
    <row r="179" spans="1:11" x14ac:dyDescent="0.2">
      <c r="A179" s="472" t="s">
        <v>338</v>
      </c>
      <c r="B179" s="472" t="s">
        <v>345</v>
      </c>
      <c r="C179" s="473">
        <v>1740</v>
      </c>
      <c r="D179" s="474">
        <v>43125</v>
      </c>
      <c r="E179" s="475">
        <v>1058.4000000000001</v>
      </c>
      <c r="F179" s="476" t="s">
        <v>183</v>
      </c>
      <c r="G179" s="475" t="s">
        <v>185</v>
      </c>
      <c r="H179" s="475" t="s">
        <v>187</v>
      </c>
      <c r="J179" s="473">
        <v>18</v>
      </c>
      <c r="K179" s="475">
        <v>896.95</v>
      </c>
    </row>
    <row r="180" spans="1:11" x14ac:dyDescent="0.2">
      <c r="A180" s="472" t="s">
        <v>338</v>
      </c>
      <c r="B180" s="472" t="s">
        <v>345</v>
      </c>
      <c r="C180" s="473">
        <v>1741</v>
      </c>
      <c r="D180" s="474">
        <v>43125</v>
      </c>
      <c r="E180" s="475">
        <v>6186.87</v>
      </c>
      <c r="F180" s="476" t="s">
        <v>183</v>
      </c>
      <c r="G180" s="475" t="s">
        <v>185</v>
      </c>
      <c r="H180" s="475" t="s">
        <v>187</v>
      </c>
      <c r="J180" s="473">
        <v>18</v>
      </c>
      <c r="K180" s="475">
        <v>4910.91</v>
      </c>
    </row>
    <row r="181" spans="1:11" x14ac:dyDescent="0.2">
      <c r="A181" s="472" t="s">
        <v>338</v>
      </c>
      <c r="B181" s="472" t="s">
        <v>345</v>
      </c>
      <c r="C181" s="473">
        <v>1741</v>
      </c>
      <c r="D181" s="474">
        <v>43125</v>
      </c>
      <c r="E181" s="475">
        <v>6186.87</v>
      </c>
      <c r="F181" s="476" t="s">
        <v>183</v>
      </c>
      <c r="G181" s="475" t="s">
        <v>185</v>
      </c>
      <c r="H181" s="475" t="s">
        <v>187</v>
      </c>
      <c r="J181" s="473">
        <v>12</v>
      </c>
      <c r="K181" s="475">
        <v>350</v>
      </c>
    </row>
    <row r="182" spans="1:11" x14ac:dyDescent="0.2">
      <c r="A182" s="472" t="s">
        <v>338</v>
      </c>
      <c r="B182" s="472" t="s">
        <v>345</v>
      </c>
      <c r="C182" s="473">
        <v>1742</v>
      </c>
      <c r="D182" s="474">
        <v>43125</v>
      </c>
      <c r="E182" s="475">
        <v>8307.69</v>
      </c>
      <c r="F182" s="476" t="s">
        <v>183</v>
      </c>
      <c r="G182" s="475" t="s">
        <v>185</v>
      </c>
      <c r="H182" s="475" t="s">
        <v>187</v>
      </c>
      <c r="J182" s="473">
        <v>18</v>
      </c>
      <c r="K182" s="475">
        <v>7040.41</v>
      </c>
    </row>
    <row r="183" spans="1:11" x14ac:dyDescent="0.2">
      <c r="A183" s="472" t="s">
        <v>338</v>
      </c>
      <c r="B183" s="472" t="s">
        <v>345</v>
      </c>
      <c r="C183" s="473">
        <v>1743</v>
      </c>
      <c r="D183" s="474">
        <v>43125</v>
      </c>
      <c r="E183" s="475">
        <v>1921.08</v>
      </c>
      <c r="F183" s="476" t="s">
        <v>183</v>
      </c>
      <c r="G183" s="475" t="s">
        <v>185</v>
      </c>
      <c r="H183" s="475" t="s">
        <v>187</v>
      </c>
      <c r="J183" s="473">
        <v>18</v>
      </c>
      <c r="K183" s="475">
        <v>1628.03</v>
      </c>
    </row>
    <row r="184" spans="1:11" x14ac:dyDescent="0.2">
      <c r="A184" s="477" t="s">
        <v>342</v>
      </c>
      <c r="B184" s="472" t="s">
        <v>349</v>
      </c>
      <c r="C184" s="473">
        <v>1744</v>
      </c>
      <c r="D184" s="474">
        <v>43125</v>
      </c>
      <c r="E184" s="475">
        <v>834.78</v>
      </c>
      <c r="F184" s="476" t="s">
        <v>183</v>
      </c>
      <c r="G184" s="475" t="s">
        <v>185</v>
      </c>
      <c r="H184" s="475" t="s">
        <v>187</v>
      </c>
      <c r="J184" s="473">
        <v>18</v>
      </c>
      <c r="K184" s="475">
        <v>707.44</v>
      </c>
    </row>
    <row r="185" spans="1:11" x14ac:dyDescent="0.2">
      <c r="A185" s="472" t="s">
        <v>338</v>
      </c>
      <c r="B185" s="472" t="s">
        <v>345</v>
      </c>
      <c r="C185" s="473">
        <v>1745</v>
      </c>
      <c r="D185" s="474">
        <v>43127</v>
      </c>
      <c r="E185" s="475">
        <v>7691.04</v>
      </c>
      <c r="F185" s="476" t="s">
        <v>183</v>
      </c>
      <c r="G185" s="475" t="s">
        <v>185</v>
      </c>
      <c r="H185" s="475" t="s">
        <v>187</v>
      </c>
      <c r="J185" s="473">
        <v>18</v>
      </c>
      <c r="K185" s="475">
        <v>6517.83</v>
      </c>
    </row>
    <row r="186" spans="1:11" x14ac:dyDescent="0.2">
      <c r="A186" s="477" t="s">
        <v>338</v>
      </c>
      <c r="B186" s="472" t="s">
        <v>348</v>
      </c>
      <c r="C186" s="473">
        <v>1746</v>
      </c>
      <c r="D186" s="474">
        <v>43129</v>
      </c>
      <c r="E186" s="475">
        <v>4392.01</v>
      </c>
      <c r="F186" s="476" t="s">
        <v>183</v>
      </c>
      <c r="G186" s="475" t="s">
        <v>185</v>
      </c>
      <c r="H186" s="475" t="s">
        <v>187</v>
      </c>
      <c r="J186" s="473">
        <v>18</v>
      </c>
      <c r="K186" s="475">
        <v>3722.04</v>
      </c>
    </row>
    <row r="187" spans="1:11" x14ac:dyDescent="0.2">
      <c r="A187" s="472" t="s">
        <v>338</v>
      </c>
      <c r="B187" s="472" t="s">
        <v>345</v>
      </c>
      <c r="C187" s="473">
        <v>1747</v>
      </c>
      <c r="D187" s="474">
        <v>43129</v>
      </c>
      <c r="E187" s="475">
        <v>14856.41</v>
      </c>
      <c r="F187" s="476" t="s">
        <v>183</v>
      </c>
      <c r="G187" s="475" t="s">
        <v>185</v>
      </c>
      <c r="H187" s="475" t="s">
        <v>187</v>
      </c>
      <c r="J187" s="473">
        <v>18</v>
      </c>
      <c r="K187" s="475">
        <v>12590.18</v>
      </c>
    </row>
    <row r="188" spans="1:11" x14ac:dyDescent="0.2">
      <c r="A188" s="472" t="s">
        <v>338</v>
      </c>
      <c r="B188" s="472" t="s">
        <v>345</v>
      </c>
      <c r="C188" s="473">
        <v>1748</v>
      </c>
      <c r="D188" s="474">
        <v>43129</v>
      </c>
      <c r="E188" s="475">
        <v>15589.73</v>
      </c>
      <c r="F188" s="476" t="s">
        <v>183</v>
      </c>
      <c r="G188" s="475" t="s">
        <v>185</v>
      </c>
      <c r="H188" s="475" t="s">
        <v>187</v>
      </c>
      <c r="J188" s="473">
        <v>18</v>
      </c>
      <c r="K188" s="475">
        <v>13211.64</v>
      </c>
    </row>
    <row r="189" spans="1:11" x14ac:dyDescent="0.2">
      <c r="A189" s="472" t="s">
        <v>338</v>
      </c>
      <c r="B189" s="472" t="s">
        <v>345</v>
      </c>
      <c r="C189" s="473">
        <v>1749</v>
      </c>
      <c r="D189" s="474">
        <v>43131</v>
      </c>
      <c r="E189" s="475">
        <v>12863.93</v>
      </c>
      <c r="F189" s="476" t="s">
        <v>183</v>
      </c>
      <c r="G189" s="475" t="s">
        <v>185</v>
      </c>
      <c r="H189" s="475" t="s">
        <v>187</v>
      </c>
      <c r="J189" s="473">
        <v>18</v>
      </c>
      <c r="K189" s="475">
        <v>10901.64</v>
      </c>
    </row>
    <row r="190" spans="1:11" x14ac:dyDescent="0.2">
      <c r="A190" s="472" t="s">
        <v>338</v>
      </c>
      <c r="B190" s="472" t="s">
        <v>350</v>
      </c>
      <c r="C190" s="473">
        <v>1750</v>
      </c>
      <c r="D190" s="474">
        <v>43132</v>
      </c>
      <c r="E190" s="475">
        <v>8139.13</v>
      </c>
      <c r="F190" s="476" t="s">
        <v>183</v>
      </c>
      <c r="G190" s="475" t="s">
        <v>185</v>
      </c>
      <c r="H190" s="475" t="s">
        <v>187</v>
      </c>
      <c r="J190" s="473">
        <v>18</v>
      </c>
      <c r="K190" s="475">
        <v>6897.57</v>
      </c>
    </row>
    <row r="191" spans="1:11" x14ac:dyDescent="0.2">
      <c r="A191" s="472" t="s">
        <v>338</v>
      </c>
      <c r="B191" s="472" t="s">
        <v>345</v>
      </c>
      <c r="C191" s="473">
        <v>1751</v>
      </c>
      <c r="D191" s="474">
        <v>43132</v>
      </c>
      <c r="E191" s="475">
        <v>8793.2800000000007</v>
      </c>
      <c r="F191" s="476" t="s">
        <v>183</v>
      </c>
      <c r="G191" s="475" t="s">
        <v>185</v>
      </c>
      <c r="H191" s="475" t="s">
        <v>187</v>
      </c>
      <c r="J191" s="473">
        <v>18</v>
      </c>
      <c r="K191" s="475">
        <v>7451.94</v>
      </c>
    </row>
    <row r="192" spans="1:11" x14ac:dyDescent="0.2">
      <c r="A192" s="472" t="s">
        <v>338</v>
      </c>
      <c r="B192" s="472" t="s">
        <v>345</v>
      </c>
      <c r="C192" s="473">
        <v>1752</v>
      </c>
      <c r="D192" s="474">
        <v>43132</v>
      </c>
      <c r="E192" s="475">
        <v>993.1</v>
      </c>
      <c r="F192" s="476" t="s">
        <v>183</v>
      </c>
      <c r="G192" s="475" t="s">
        <v>185</v>
      </c>
      <c r="H192" s="475" t="s">
        <v>187</v>
      </c>
      <c r="J192" s="473">
        <v>18</v>
      </c>
      <c r="K192" s="475">
        <v>841.61</v>
      </c>
    </row>
    <row r="193" spans="1:11" x14ac:dyDescent="0.2">
      <c r="A193" s="472" t="s">
        <v>338</v>
      </c>
      <c r="B193" s="472" t="s">
        <v>345</v>
      </c>
      <c r="C193" s="473">
        <v>1753</v>
      </c>
      <c r="D193" s="474">
        <v>43132</v>
      </c>
      <c r="E193" s="475">
        <v>2461.5300000000002</v>
      </c>
      <c r="F193" s="476" t="s">
        <v>183</v>
      </c>
      <c r="G193" s="475" t="s">
        <v>185</v>
      </c>
      <c r="H193" s="475" t="s">
        <v>187</v>
      </c>
      <c r="J193" s="473">
        <v>18</v>
      </c>
      <c r="K193" s="475">
        <v>2086.0500000000002</v>
      </c>
    </row>
    <row r="194" spans="1:11" x14ac:dyDescent="0.2">
      <c r="A194" s="472" t="s">
        <v>339</v>
      </c>
      <c r="B194" s="472" t="s">
        <v>346</v>
      </c>
      <c r="C194" s="473">
        <v>1754</v>
      </c>
      <c r="D194" s="474">
        <v>43134</v>
      </c>
      <c r="E194" s="475">
        <v>3339.13</v>
      </c>
      <c r="F194" s="476" t="s">
        <v>183</v>
      </c>
      <c r="G194" s="475" t="s">
        <v>185</v>
      </c>
      <c r="H194" s="475" t="s">
        <v>187</v>
      </c>
      <c r="J194" s="473">
        <v>12</v>
      </c>
      <c r="K194" s="475">
        <v>2981.37</v>
      </c>
    </row>
    <row r="195" spans="1:11" x14ac:dyDescent="0.2">
      <c r="A195" s="472" t="s">
        <v>338</v>
      </c>
      <c r="B195" s="472" t="s">
        <v>345</v>
      </c>
      <c r="C195" s="473">
        <v>1755</v>
      </c>
      <c r="D195" s="474">
        <v>43134</v>
      </c>
      <c r="E195" s="475">
        <v>20956.32</v>
      </c>
      <c r="F195" s="476" t="s">
        <v>183</v>
      </c>
      <c r="G195" s="475" t="s">
        <v>185</v>
      </c>
      <c r="H195" s="475" t="s">
        <v>187</v>
      </c>
      <c r="J195" s="473">
        <v>18</v>
      </c>
      <c r="K195" s="475">
        <v>17759.59</v>
      </c>
    </row>
    <row r="196" spans="1:11" x14ac:dyDescent="0.2">
      <c r="A196" s="472" t="s">
        <v>338</v>
      </c>
      <c r="B196" s="472" t="s">
        <v>345</v>
      </c>
      <c r="C196" s="473">
        <v>1756</v>
      </c>
      <c r="D196" s="474">
        <v>43134</v>
      </c>
      <c r="E196" s="475">
        <v>10049.458000000001</v>
      </c>
      <c r="F196" s="476" t="s">
        <v>183</v>
      </c>
      <c r="G196" s="475" t="s">
        <v>185</v>
      </c>
      <c r="H196" s="475" t="s">
        <v>187</v>
      </c>
      <c r="J196" s="473">
        <v>12</v>
      </c>
      <c r="K196" s="475">
        <v>8972.73</v>
      </c>
    </row>
    <row r="197" spans="1:11" x14ac:dyDescent="0.2">
      <c r="A197" s="472" t="s">
        <v>338</v>
      </c>
      <c r="B197" s="472" t="s">
        <v>345</v>
      </c>
      <c r="C197" s="473">
        <v>1757</v>
      </c>
      <c r="D197" s="474">
        <v>43134</v>
      </c>
      <c r="E197" s="475">
        <v>2482.7579999999998</v>
      </c>
      <c r="F197" s="476" t="s">
        <v>183</v>
      </c>
      <c r="G197" s="475" t="s">
        <v>185</v>
      </c>
      <c r="H197" s="475" t="s">
        <v>187</v>
      </c>
      <c r="J197" s="473">
        <v>18</v>
      </c>
      <c r="K197" s="475">
        <v>2104.0320000000002</v>
      </c>
    </row>
    <row r="198" spans="1:11" x14ac:dyDescent="0.2">
      <c r="A198" s="472" t="s">
        <v>338</v>
      </c>
      <c r="B198" s="472" t="s">
        <v>345</v>
      </c>
      <c r="C198" s="473">
        <v>1758</v>
      </c>
      <c r="D198" s="474">
        <v>43136</v>
      </c>
      <c r="E198" s="475">
        <v>14918.403</v>
      </c>
      <c r="F198" s="476" t="s">
        <v>183</v>
      </c>
      <c r="G198" s="475" t="s">
        <v>185</v>
      </c>
      <c r="H198" s="475" t="s">
        <v>187</v>
      </c>
      <c r="J198" s="473">
        <v>18</v>
      </c>
      <c r="K198" s="475">
        <v>12642.715</v>
      </c>
    </row>
    <row r="199" spans="1:11" x14ac:dyDescent="0.2">
      <c r="A199" s="472" t="s">
        <v>338</v>
      </c>
      <c r="B199" s="472" t="s">
        <v>345</v>
      </c>
      <c r="C199" s="473">
        <v>1759</v>
      </c>
      <c r="D199" s="474">
        <v>43136</v>
      </c>
      <c r="E199" s="475">
        <v>5345.4560000000001</v>
      </c>
      <c r="F199" s="476" t="s">
        <v>183</v>
      </c>
      <c r="G199" s="475" t="s">
        <v>185</v>
      </c>
      <c r="H199" s="475" t="s">
        <v>187</v>
      </c>
      <c r="J199" s="473">
        <v>12</v>
      </c>
      <c r="K199" s="475">
        <v>4772.7280000000001</v>
      </c>
    </row>
    <row r="200" spans="1:11" x14ac:dyDescent="0.2">
      <c r="A200" s="472" t="s">
        <v>338</v>
      </c>
      <c r="B200" s="472" t="s">
        <v>345</v>
      </c>
      <c r="C200" s="473">
        <v>1760</v>
      </c>
      <c r="D200" s="474">
        <v>43136</v>
      </c>
      <c r="E200" s="475">
        <v>19226.760999999999</v>
      </c>
      <c r="F200" s="476" t="s">
        <v>183</v>
      </c>
      <c r="G200" s="475" t="s">
        <v>185</v>
      </c>
      <c r="H200" s="475" t="s">
        <v>187</v>
      </c>
      <c r="J200" s="473">
        <v>18</v>
      </c>
      <c r="K200" s="475">
        <v>16293.865</v>
      </c>
    </row>
    <row r="201" spans="1:11" x14ac:dyDescent="0.2">
      <c r="A201" s="472" t="s">
        <v>338</v>
      </c>
      <c r="B201" s="472" t="s">
        <v>345</v>
      </c>
      <c r="C201" s="473">
        <v>1761</v>
      </c>
      <c r="D201" s="474">
        <v>43136</v>
      </c>
      <c r="E201" s="475">
        <v>7179.4989999999998</v>
      </c>
      <c r="F201" s="476" t="s">
        <v>183</v>
      </c>
      <c r="G201" s="475" t="s">
        <v>185</v>
      </c>
      <c r="H201" s="475" t="s">
        <v>187</v>
      </c>
      <c r="J201" s="473">
        <v>18</v>
      </c>
      <c r="K201" s="475">
        <v>6084.3209999999999</v>
      </c>
    </row>
    <row r="202" spans="1:11" x14ac:dyDescent="0.2">
      <c r="A202" s="472" t="s">
        <v>338</v>
      </c>
      <c r="B202" s="472" t="s">
        <v>345</v>
      </c>
      <c r="C202" s="473">
        <v>1762</v>
      </c>
      <c r="D202" s="474">
        <v>43136</v>
      </c>
      <c r="E202" s="475">
        <v>10690.914000000001</v>
      </c>
      <c r="F202" s="476" t="s">
        <v>183</v>
      </c>
      <c r="G202" s="475" t="s">
        <v>185</v>
      </c>
      <c r="H202" s="475" t="s">
        <v>187</v>
      </c>
      <c r="J202" s="473">
        <v>12</v>
      </c>
      <c r="K202" s="475">
        <v>9545.4580000000005</v>
      </c>
    </row>
    <row r="203" spans="1:11" x14ac:dyDescent="0.2">
      <c r="A203" s="472" t="s">
        <v>338</v>
      </c>
      <c r="B203" s="472" t="s">
        <v>345</v>
      </c>
      <c r="C203" s="473">
        <v>1763</v>
      </c>
      <c r="D203" s="474">
        <v>43136</v>
      </c>
      <c r="E203" s="475">
        <v>5345.4570000000003</v>
      </c>
      <c r="F203" s="476" t="s">
        <v>183</v>
      </c>
      <c r="G203" s="475" t="s">
        <v>185</v>
      </c>
      <c r="H203" s="475" t="s">
        <v>187</v>
      </c>
      <c r="J203" s="473">
        <v>12</v>
      </c>
      <c r="K203" s="475">
        <v>4772.7290000000003</v>
      </c>
    </row>
    <row r="204" spans="1:11" x14ac:dyDescent="0.2">
      <c r="A204" s="472" t="s">
        <v>338</v>
      </c>
      <c r="B204" s="472" t="s">
        <v>345</v>
      </c>
      <c r="C204" s="473">
        <v>1764</v>
      </c>
      <c r="D204" s="474">
        <v>43136</v>
      </c>
      <c r="E204" s="475">
        <v>4276.366</v>
      </c>
      <c r="F204" s="476" t="s">
        <v>183</v>
      </c>
      <c r="G204" s="475" t="s">
        <v>185</v>
      </c>
      <c r="H204" s="475" t="s">
        <v>187</v>
      </c>
      <c r="J204" s="473">
        <v>12</v>
      </c>
      <c r="K204" s="475">
        <v>3818.1840000000002</v>
      </c>
    </row>
    <row r="205" spans="1:11" x14ac:dyDescent="0.2">
      <c r="A205" s="472" t="s">
        <v>338</v>
      </c>
      <c r="B205" s="472" t="s">
        <v>345</v>
      </c>
      <c r="C205" s="473">
        <v>1765</v>
      </c>
      <c r="D205" s="474">
        <v>43137</v>
      </c>
      <c r="E205" s="475">
        <v>23432.638999999999</v>
      </c>
      <c r="F205" s="476" t="s">
        <v>183</v>
      </c>
      <c r="G205" s="475" t="s">
        <v>185</v>
      </c>
      <c r="H205" s="475" t="s">
        <v>187</v>
      </c>
      <c r="J205" s="473">
        <v>18</v>
      </c>
      <c r="K205" s="475">
        <v>19858.167000000001</v>
      </c>
    </row>
    <row r="206" spans="1:11" x14ac:dyDescent="0.2">
      <c r="A206" s="472" t="s">
        <v>338</v>
      </c>
      <c r="B206" s="472" t="s">
        <v>345</v>
      </c>
      <c r="C206" s="473">
        <v>1766</v>
      </c>
      <c r="D206" s="474">
        <v>43137</v>
      </c>
      <c r="E206" s="475">
        <v>9411.3619999999992</v>
      </c>
      <c r="F206" s="476" t="s">
        <v>183</v>
      </c>
      <c r="G206" s="475" t="s">
        <v>185</v>
      </c>
      <c r="H206" s="475" t="s">
        <v>187</v>
      </c>
      <c r="J206" s="473">
        <v>18</v>
      </c>
      <c r="K206" s="475">
        <v>7975.73</v>
      </c>
    </row>
    <row r="207" spans="1:11" x14ac:dyDescent="0.2">
      <c r="A207" s="472" t="s">
        <v>338</v>
      </c>
      <c r="B207" s="472" t="s">
        <v>345</v>
      </c>
      <c r="C207" s="473">
        <v>1767</v>
      </c>
      <c r="D207" s="474">
        <v>43137</v>
      </c>
      <c r="E207" s="475">
        <v>12512.807000000001</v>
      </c>
      <c r="F207" s="476" t="s">
        <v>183</v>
      </c>
      <c r="G207" s="475" t="s">
        <v>185</v>
      </c>
      <c r="H207" s="475" t="s">
        <v>187</v>
      </c>
      <c r="J207" s="473">
        <v>18</v>
      </c>
      <c r="K207" s="475">
        <v>10604.073</v>
      </c>
    </row>
    <row r="208" spans="1:11" x14ac:dyDescent="0.2">
      <c r="A208" s="472" t="s">
        <v>338</v>
      </c>
      <c r="B208" s="472" t="s">
        <v>345</v>
      </c>
      <c r="C208" s="473">
        <v>1768</v>
      </c>
      <c r="D208" s="474">
        <v>43137</v>
      </c>
      <c r="E208" s="475">
        <v>19703.870999999999</v>
      </c>
      <c r="F208" s="476" t="s">
        <v>183</v>
      </c>
      <c r="G208" s="475" t="s">
        <v>185</v>
      </c>
      <c r="H208" s="475" t="s">
        <v>187</v>
      </c>
      <c r="J208" s="473">
        <v>18</v>
      </c>
      <c r="K208" s="475">
        <v>16698.197</v>
      </c>
    </row>
    <row r="209" spans="1:11" x14ac:dyDescent="0.2">
      <c r="A209" s="472" t="s">
        <v>338</v>
      </c>
      <c r="B209" s="472" t="s">
        <v>345</v>
      </c>
      <c r="C209" s="473">
        <v>1769</v>
      </c>
      <c r="D209" s="474">
        <v>43137</v>
      </c>
      <c r="E209" s="475">
        <v>4289.2039999999997</v>
      </c>
      <c r="F209" s="476" t="s">
        <v>183</v>
      </c>
      <c r="G209" s="475" t="s">
        <v>185</v>
      </c>
      <c r="H209" s="475" t="s">
        <v>187</v>
      </c>
      <c r="J209" s="473">
        <v>12</v>
      </c>
      <c r="K209" s="475">
        <v>1095.6559999999999</v>
      </c>
    </row>
    <row r="210" spans="1:11" x14ac:dyDescent="0.2">
      <c r="A210" s="472" t="s">
        <v>338</v>
      </c>
      <c r="B210" s="472" t="s">
        <v>345</v>
      </c>
      <c r="C210" s="473">
        <v>1769</v>
      </c>
      <c r="D210" s="474">
        <v>43137</v>
      </c>
      <c r="E210" s="475">
        <v>4289.2039999999997</v>
      </c>
      <c r="F210" s="476" t="s">
        <v>183</v>
      </c>
      <c r="G210" s="475" t="s">
        <v>185</v>
      </c>
      <c r="H210" s="475" t="s">
        <v>187</v>
      </c>
      <c r="J210" s="473">
        <v>18</v>
      </c>
      <c r="K210" s="475">
        <v>2594.9740000000002</v>
      </c>
    </row>
    <row r="211" spans="1:11" x14ac:dyDescent="0.2">
      <c r="A211" s="472" t="s">
        <v>338</v>
      </c>
      <c r="B211" s="472" t="s">
        <v>345</v>
      </c>
      <c r="C211" s="473">
        <v>1770</v>
      </c>
      <c r="D211" s="474">
        <v>43139</v>
      </c>
      <c r="E211" s="475">
        <v>9066.9609999999993</v>
      </c>
      <c r="F211" s="476" t="s">
        <v>183</v>
      </c>
      <c r="G211" s="475" t="s">
        <v>185</v>
      </c>
      <c r="H211" s="475" t="s">
        <v>187</v>
      </c>
      <c r="J211" s="473">
        <v>18</v>
      </c>
      <c r="K211" s="475">
        <v>7683.8649999999998</v>
      </c>
    </row>
    <row r="212" spans="1:11" x14ac:dyDescent="0.2">
      <c r="A212" s="472" t="s">
        <v>338</v>
      </c>
      <c r="B212" s="472" t="s">
        <v>345</v>
      </c>
      <c r="C212" s="473">
        <v>1771</v>
      </c>
      <c r="D212" s="474">
        <v>43139</v>
      </c>
      <c r="E212" s="475">
        <v>11266.384</v>
      </c>
      <c r="F212" s="476" t="s">
        <v>183</v>
      </c>
      <c r="G212" s="475" t="s">
        <v>185</v>
      </c>
      <c r="H212" s="475" t="s">
        <v>187</v>
      </c>
      <c r="J212" s="473">
        <v>12</v>
      </c>
      <c r="K212" s="475">
        <v>1909.09</v>
      </c>
    </row>
    <row r="213" spans="1:11" x14ac:dyDescent="0.2">
      <c r="A213" s="472" t="s">
        <v>338</v>
      </c>
      <c r="B213" s="472" t="s">
        <v>345</v>
      </c>
      <c r="C213" s="473">
        <v>1771</v>
      </c>
      <c r="D213" s="474">
        <v>43139</v>
      </c>
      <c r="E213" s="475">
        <v>11266.384</v>
      </c>
      <c r="F213" s="476" t="s">
        <v>183</v>
      </c>
      <c r="G213" s="475" t="s">
        <v>185</v>
      </c>
      <c r="H213" s="475" t="s">
        <v>187</v>
      </c>
      <c r="J213" s="473">
        <v>18</v>
      </c>
      <c r="K213" s="475">
        <v>7735.7659999999996</v>
      </c>
    </row>
    <row r="214" spans="1:11" x14ac:dyDescent="0.2">
      <c r="A214" s="472" t="s">
        <v>338</v>
      </c>
      <c r="B214" s="472" t="s">
        <v>345</v>
      </c>
      <c r="C214" s="473">
        <v>1772</v>
      </c>
      <c r="D214" s="474">
        <v>43139</v>
      </c>
      <c r="E214" s="475">
        <v>4276.366</v>
      </c>
      <c r="F214" s="476" t="s">
        <v>183</v>
      </c>
      <c r="G214" s="475" t="s">
        <v>185</v>
      </c>
      <c r="H214" s="475" t="s">
        <v>187</v>
      </c>
      <c r="J214" s="473">
        <v>12</v>
      </c>
      <c r="K214" s="475">
        <v>3818.1840000000002</v>
      </c>
    </row>
    <row r="215" spans="1:11" x14ac:dyDescent="0.2">
      <c r="A215" s="472" t="s">
        <v>338</v>
      </c>
      <c r="B215" s="472" t="s">
        <v>345</v>
      </c>
      <c r="C215" s="473">
        <v>1773</v>
      </c>
      <c r="D215" s="474">
        <v>43139</v>
      </c>
      <c r="E215" s="475">
        <v>1260.001</v>
      </c>
      <c r="F215" s="476" t="s">
        <v>183</v>
      </c>
      <c r="G215" s="475" t="s">
        <v>185</v>
      </c>
      <c r="H215" s="475" t="s">
        <v>187</v>
      </c>
      <c r="J215" s="473">
        <v>18</v>
      </c>
      <c r="K215" s="475">
        <v>1067.797</v>
      </c>
    </row>
    <row r="216" spans="1:11" x14ac:dyDescent="0.2">
      <c r="A216" s="472" t="s">
        <v>338</v>
      </c>
      <c r="B216" s="472" t="s">
        <v>345</v>
      </c>
      <c r="C216" s="473">
        <v>1774</v>
      </c>
      <c r="D216" s="474">
        <v>43139</v>
      </c>
      <c r="E216" s="475">
        <v>1915.201</v>
      </c>
      <c r="F216" s="476" t="s">
        <v>183</v>
      </c>
      <c r="G216" s="475" t="s">
        <v>185</v>
      </c>
      <c r="H216" s="475" t="s">
        <v>187</v>
      </c>
      <c r="J216" s="473">
        <v>18</v>
      </c>
      <c r="K216" s="475">
        <v>1623.0509999999999</v>
      </c>
    </row>
    <row r="217" spans="1:11" x14ac:dyDescent="0.2">
      <c r="A217" s="472" t="s">
        <v>338</v>
      </c>
      <c r="B217" s="472" t="s">
        <v>345</v>
      </c>
      <c r="C217" s="473">
        <v>1775</v>
      </c>
      <c r="D217" s="474">
        <v>43141</v>
      </c>
      <c r="E217" s="475">
        <v>5523.84</v>
      </c>
      <c r="F217" s="476" t="s">
        <v>183</v>
      </c>
      <c r="G217" s="475" t="s">
        <v>185</v>
      </c>
      <c r="H217" s="475" t="s">
        <v>187</v>
      </c>
      <c r="J217" s="473">
        <v>18</v>
      </c>
      <c r="K217" s="475">
        <v>4681.22</v>
      </c>
    </row>
    <row r="218" spans="1:11" x14ac:dyDescent="0.2">
      <c r="A218" s="472" t="s">
        <v>338</v>
      </c>
      <c r="B218" s="472" t="s">
        <v>345</v>
      </c>
      <c r="C218" s="473">
        <v>1776</v>
      </c>
      <c r="D218" s="474">
        <v>43141</v>
      </c>
      <c r="E218" s="475">
        <v>26476.065999999999</v>
      </c>
      <c r="F218" s="476" t="s">
        <v>183</v>
      </c>
      <c r="G218" s="475" t="s">
        <v>185</v>
      </c>
      <c r="H218" s="475" t="s">
        <v>187</v>
      </c>
      <c r="J218" s="473">
        <v>12</v>
      </c>
      <c r="K218" s="475">
        <v>8254.7430000000004</v>
      </c>
    </row>
    <row r="219" spans="1:11" x14ac:dyDescent="0.2">
      <c r="A219" s="472" t="s">
        <v>338</v>
      </c>
      <c r="B219" s="472" t="s">
        <v>345</v>
      </c>
      <c r="C219" s="473">
        <v>1776</v>
      </c>
      <c r="D219" s="474">
        <v>43141</v>
      </c>
      <c r="E219" s="475">
        <v>26476.065999999999</v>
      </c>
      <c r="F219" s="476" t="s">
        <v>183</v>
      </c>
      <c r="G219" s="475" t="s">
        <v>185</v>
      </c>
      <c r="H219" s="475" t="s">
        <v>187</v>
      </c>
      <c r="J219" s="473">
        <v>18</v>
      </c>
      <c r="K219" s="475">
        <v>14602.333000000001</v>
      </c>
    </row>
    <row r="220" spans="1:11" x14ac:dyDescent="0.2">
      <c r="A220" s="472" t="s">
        <v>338</v>
      </c>
      <c r="B220" s="472" t="s">
        <v>345</v>
      </c>
      <c r="C220" s="473">
        <v>1777</v>
      </c>
      <c r="D220" s="474">
        <v>43141</v>
      </c>
      <c r="E220" s="475">
        <v>10342.075000000001</v>
      </c>
      <c r="F220" s="476" t="s">
        <v>183</v>
      </c>
      <c r="G220" s="475" t="s">
        <v>185</v>
      </c>
      <c r="H220" s="475" t="s">
        <v>187</v>
      </c>
      <c r="J220" s="473">
        <v>18</v>
      </c>
      <c r="K220" s="475">
        <v>8764.4689999999991</v>
      </c>
    </row>
    <row r="221" spans="1:11" x14ac:dyDescent="0.2">
      <c r="A221" s="472" t="s">
        <v>338</v>
      </c>
      <c r="B221" s="472" t="s">
        <v>345</v>
      </c>
      <c r="C221" s="473">
        <v>1778</v>
      </c>
      <c r="D221" s="474">
        <v>43141</v>
      </c>
      <c r="E221" s="475">
        <v>6123.5959999999995</v>
      </c>
      <c r="F221" s="476" t="s">
        <v>183</v>
      </c>
      <c r="G221" s="475" t="s">
        <v>185</v>
      </c>
      <c r="H221" s="475" t="s">
        <v>187</v>
      </c>
      <c r="J221" s="473">
        <v>18</v>
      </c>
      <c r="K221" s="475">
        <v>5189.4880000000003</v>
      </c>
    </row>
    <row r="222" spans="1:11" x14ac:dyDescent="0.2">
      <c r="A222" s="472" t="s">
        <v>338</v>
      </c>
      <c r="B222" s="472" t="s">
        <v>345</v>
      </c>
      <c r="C222" s="473">
        <v>1779</v>
      </c>
      <c r="D222" s="474">
        <v>43141</v>
      </c>
      <c r="E222" s="475">
        <v>10169.201999999999</v>
      </c>
      <c r="F222" s="476" t="s">
        <v>183</v>
      </c>
      <c r="G222" s="475" t="s">
        <v>185</v>
      </c>
      <c r="H222" s="475" t="s">
        <v>187</v>
      </c>
      <c r="J222" s="473">
        <v>12</v>
      </c>
      <c r="K222" s="475">
        <v>6345.6540000000005</v>
      </c>
    </row>
    <row r="223" spans="1:11" x14ac:dyDescent="0.2">
      <c r="A223" s="472" t="s">
        <v>338</v>
      </c>
      <c r="B223" s="472" t="s">
        <v>345</v>
      </c>
      <c r="C223" s="473">
        <v>1779</v>
      </c>
      <c r="D223" s="474">
        <v>43141</v>
      </c>
      <c r="E223" s="475">
        <v>10169.201999999999</v>
      </c>
      <c r="F223" s="476" t="s">
        <v>183</v>
      </c>
      <c r="G223" s="475" t="s">
        <v>185</v>
      </c>
      <c r="H223" s="475" t="s">
        <v>187</v>
      </c>
      <c r="J223" s="473">
        <v>18</v>
      </c>
      <c r="K223" s="475">
        <v>2594.9740000000002</v>
      </c>
    </row>
    <row r="224" spans="1:11" x14ac:dyDescent="0.2">
      <c r="A224" s="472" t="s">
        <v>342</v>
      </c>
      <c r="B224" s="472" t="s">
        <v>349</v>
      </c>
      <c r="C224" s="473">
        <v>1780</v>
      </c>
      <c r="D224" s="474">
        <v>43142</v>
      </c>
      <c r="E224" s="475">
        <v>6382.6130000000003</v>
      </c>
      <c r="F224" s="476" t="s">
        <v>183</v>
      </c>
      <c r="G224" s="475" t="s">
        <v>185</v>
      </c>
      <c r="H224" s="475" t="s">
        <v>187</v>
      </c>
      <c r="J224" s="473">
        <v>18</v>
      </c>
      <c r="K224" s="475">
        <v>5408.9930000000004</v>
      </c>
    </row>
    <row r="225" spans="1:11" x14ac:dyDescent="0.2">
      <c r="A225" s="472" t="s">
        <v>338</v>
      </c>
      <c r="B225" s="472" t="s">
        <v>345</v>
      </c>
      <c r="C225" s="473">
        <v>1781</v>
      </c>
      <c r="D225" s="474">
        <v>43143</v>
      </c>
      <c r="E225" s="475">
        <v>9424.7909999999993</v>
      </c>
      <c r="F225" s="476" t="s">
        <v>183</v>
      </c>
      <c r="G225" s="475" t="s">
        <v>185</v>
      </c>
      <c r="H225" s="475" t="s">
        <v>187</v>
      </c>
      <c r="J225" s="473">
        <v>18</v>
      </c>
      <c r="K225" s="475">
        <v>7987.1109999999999</v>
      </c>
    </row>
    <row r="226" spans="1:11" x14ac:dyDescent="0.2">
      <c r="A226" s="472" t="s">
        <v>338</v>
      </c>
      <c r="B226" s="472" t="s">
        <v>345</v>
      </c>
      <c r="C226" s="473">
        <v>1782</v>
      </c>
      <c r="D226" s="474">
        <v>43144</v>
      </c>
      <c r="E226" s="475">
        <v>5846.16</v>
      </c>
      <c r="F226" s="476" t="s">
        <v>183</v>
      </c>
      <c r="G226" s="475" t="s">
        <v>185</v>
      </c>
      <c r="H226" s="475" t="s">
        <v>187</v>
      </c>
      <c r="J226" s="473">
        <v>18</v>
      </c>
      <c r="K226" s="475">
        <v>4954.37</v>
      </c>
    </row>
    <row r="227" spans="1:11" x14ac:dyDescent="0.2">
      <c r="A227" s="472" t="s">
        <v>338</v>
      </c>
      <c r="B227" s="472" t="s">
        <v>345</v>
      </c>
      <c r="C227" s="473">
        <v>1783</v>
      </c>
      <c r="D227" s="474">
        <v>43146</v>
      </c>
      <c r="E227" s="475">
        <v>11665.203</v>
      </c>
      <c r="F227" s="476" t="s">
        <v>183</v>
      </c>
      <c r="G227" s="475" t="s">
        <v>185</v>
      </c>
      <c r="H227" s="475" t="s">
        <v>187</v>
      </c>
      <c r="J227" s="473">
        <v>5</v>
      </c>
      <c r="K227" s="475">
        <v>811.59699999999998</v>
      </c>
    </row>
    <row r="228" spans="1:11" x14ac:dyDescent="0.2">
      <c r="A228" s="472" t="s">
        <v>338</v>
      </c>
      <c r="B228" s="472" t="s">
        <v>345</v>
      </c>
      <c r="C228" s="473">
        <v>1783</v>
      </c>
      <c r="D228" s="474">
        <v>43146</v>
      </c>
      <c r="E228" s="475">
        <v>11665.203</v>
      </c>
      <c r="F228" s="476" t="s">
        <v>183</v>
      </c>
      <c r="G228" s="475" t="s">
        <v>185</v>
      </c>
      <c r="H228" s="475" t="s">
        <v>187</v>
      </c>
      <c r="J228" s="473">
        <v>12</v>
      </c>
      <c r="K228" s="475">
        <v>3627.2739999999999</v>
      </c>
    </row>
    <row r="229" spans="1:11" x14ac:dyDescent="0.2">
      <c r="A229" s="472" t="s">
        <v>338</v>
      </c>
      <c r="B229" s="472" t="s">
        <v>345</v>
      </c>
      <c r="C229" s="473">
        <v>1783</v>
      </c>
      <c r="D229" s="474">
        <v>43146</v>
      </c>
      <c r="E229" s="475">
        <v>11665.203</v>
      </c>
      <c r="F229" s="476" t="s">
        <v>183</v>
      </c>
      <c r="G229" s="475" t="s">
        <v>185</v>
      </c>
      <c r="H229" s="475" t="s">
        <v>187</v>
      </c>
      <c r="J229" s="473">
        <v>18</v>
      </c>
      <c r="K229" s="475">
        <v>5720.7460000000001</v>
      </c>
    </row>
    <row r="230" spans="1:11" x14ac:dyDescent="0.2">
      <c r="A230" s="472" t="s">
        <v>338</v>
      </c>
      <c r="B230" s="472" t="s">
        <v>345</v>
      </c>
      <c r="C230" s="473">
        <v>1784</v>
      </c>
      <c r="D230" s="474">
        <v>43147</v>
      </c>
      <c r="E230" s="475">
        <v>12718.439</v>
      </c>
      <c r="F230" s="476" t="s">
        <v>183</v>
      </c>
      <c r="G230" s="475" t="s">
        <v>185</v>
      </c>
      <c r="H230" s="475" t="s">
        <v>187</v>
      </c>
      <c r="J230" s="473">
        <v>18</v>
      </c>
      <c r="K230" s="475">
        <v>10778.337</v>
      </c>
    </row>
    <row r="231" spans="1:11" x14ac:dyDescent="0.2">
      <c r="A231" s="472" t="s">
        <v>338</v>
      </c>
      <c r="B231" s="472" t="s">
        <v>345</v>
      </c>
      <c r="C231" s="473">
        <v>1785</v>
      </c>
      <c r="D231" s="474">
        <v>43147</v>
      </c>
      <c r="E231" s="475">
        <v>16410.246999999999</v>
      </c>
      <c r="F231" s="476" t="s">
        <v>183</v>
      </c>
      <c r="G231" s="475" t="s">
        <v>185</v>
      </c>
      <c r="H231" s="475" t="s">
        <v>187</v>
      </c>
      <c r="J231" s="473">
        <v>18</v>
      </c>
      <c r="K231" s="475">
        <v>13906.989</v>
      </c>
    </row>
    <row r="232" spans="1:11" x14ac:dyDescent="0.2">
      <c r="A232" s="472" t="s">
        <v>338</v>
      </c>
      <c r="B232" s="472" t="s">
        <v>345</v>
      </c>
      <c r="C232" s="473">
        <v>1786</v>
      </c>
      <c r="D232" s="474">
        <v>43148</v>
      </c>
      <c r="E232" s="475">
        <v>17501.565999999999</v>
      </c>
      <c r="F232" s="476" t="s">
        <v>183</v>
      </c>
      <c r="G232" s="475" t="s">
        <v>185</v>
      </c>
      <c r="H232" s="475" t="s">
        <v>187</v>
      </c>
      <c r="J232" s="473">
        <v>18</v>
      </c>
      <c r="K232" s="475">
        <v>14831.834000000001</v>
      </c>
    </row>
    <row r="233" spans="1:11" x14ac:dyDescent="0.2">
      <c r="A233" s="472" t="s">
        <v>338</v>
      </c>
      <c r="B233" s="472" t="s">
        <v>345</v>
      </c>
      <c r="C233" s="473">
        <v>1787</v>
      </c>
      <c r="D233" s="474">
        <v>43148</v>
      </c>
      <c r="E233" s="475">
        <v>15999.977999999999</v>
      </c>
      <c r="F233" s="476" t="s">
        <v>183</v>
      </c>
      <c r="G233" s="475" t="s">
        <v>185</v>
      </c>
      <c r="H233" s="475" t="s">
        <v>187</v>
      </c>
      <c r="J233" s="473">
        <v>18</v>
      </c>
      <c r="K233" s="475">
        <v>13559.302</v>
      </c>
    </row>
    <row r="234" spans="1:11" x14ac:dyDescent="0.2">
      <c r="A234" s="472" t="s">
        <v>338</v>
      </c>
      <c r="B234" s="472" t="s">
        <v>345</v>
      </c>
      <c r="C234" s="473">
        <v>1788</v>
      </c>
      <c r="D234" s="474">
        <v>43148</v>
      </c>
      <c r="E234" s="475">
        <v>9429.8389999999999</v>
      </c>
      <c r="F234" s="476" t="s">
        <v>183</v>
      </c>
      <c r="G234" s="475" t="s">
        <v>185</v>
      </c>
      <c r="H234" s="475" t="s">
        <v>187</v>
      </c>
      <c r="J234" s="473">
        <v>18</v>
      </c>
      <c r="K234" s="475">
        <v>7991.3890000000001</v>
      </c>
    </row>
    <row r="235" spans="1:11" x14ac:dyDescent="0.2">
      <c r="A235" s="472" t="s">
        <v>338</v>
      </c>
      <c r="B235" s="472" t="s">
        <v>345</v>
      </c>
      <c r="C235" s="473">
        <v>1789</v>
      </c>
      <c r="D235" s="474">
        <v>43148</v>
      </c>
      <c r="E235" s="475">
        <v>10397.521000000001</v>
      </c>
      <c r="F235" s="476" t="s">
        <v>183</v>
      </c>
      <c r="G235" s="475" t="s">
        <v>185</v>
      </c>
      <c r="H235" s="475" t="s">
        <v>187</v>
      </c>
      <c r="J235" s="473">
        <v>18</v>
      </c>
      <c r="K235" s="475">
        <v>8811.4590000000007</v>
      </c>
    </row>
    <row r="236" spans="1:11" x14ac:dyDescent="0.2">
      <c r="A236" s="472" t="s">
        <v>338</v>
      </c>
      <c r="B236" s="472" t="s">
        <v>345</v>
      </c>
      <c r="C236" s="473">
        <v>1790</v>
      </c>
      <c r="D236" s="474">
        <v>43148</v>
      </c>
      <c r="E236" s="475">
        <v>9483.9930000000004</v>
      </c>
      <c r="F236" s="476" t="s">
        <v>183</v>
      </c>
      <c r="G236" s="475" t="s">
        <v>185</v>
      </c>
      <c r="H236" s="475" t="s">
        <v>187</v>
      </c>
      <c r="J236" s="473">
        <v>12</v>
      </c>
      <c r="K236" s="475">
        <v>958.69899999999996</v>
      </c>
    </row>
    <row r="237" spans="1:11" x14ac:dyDescent="0.2">
      <c r="A237" s="472" t="s">
        <v>338</v>
      </c>
      <c r="B237" s="472" t="s">
        <v>345</v>
      </c>
      <c r="C237" s="473">
        <v>1790</v>
      </c>
      <c r="D237" s="474">
        <v>43148</v>
      </c>
      <c r="E237" s="475">
        <v>9483.9930000000004</v>
      </c>
      <c r="F237" s="476" t="s">
        <v>183</v>
      </c>
      <c r="G237" s="475" t="s">
        <v>185</v>
      </c>
      <c r="H237" s="475" t="s">
        <v>187</v>
      </c>
      <c r="J237" s="473">
        <v>18</v>
      </c>
      <c r="K237" s="475">
        <v>7127.33</v>
      </c>
    </row>
    <row r="238" spans="1:11" x14ac:dyDescent="0.2">
      <c r="A238" s="472" t="s">
        <v>338</v>
      </c>
      <c r="B238" s="472" t="s">
        <v>345</v>
      </c>
      <c r="C238" s="473">
        <v>1791</v>
      </c>
      <c r="D238" s="474">
        <v>43150</v>
      </c>
      <c r="E238" s="475">
        <v>11470.78</v>
      </c>
      <c r="F238" s="476" t="s">
        <v>183</v>
      </c>
      <c r="G238" s="475" t="s">
        <v>185</v>
      </c>
      <c r="H238" s="475" t="s">
        <v>187</v>
      </c>
      <c r="J238" s="473">
        <v>5</v>
      </c>
      <c r="K238" s="475">
        <v>608.70000000000005</v>
      </c>
    </row>
    <row r="239" spans="1:11" x14ac:dyDescent="0.2">
      <c r="A239" s="472" t="s">
        <v>338</v>
      </c>
      <c r="B239" s="472" t="s">
        <v>345</v>
      </c>
      <c r="C239" s="473">
        <v>1791</v>
      </c>
      <c r="D239" s="474">
        <v>43150</v>
      </c>
      <c r="E239" s="475">
        <v>11470.78</v>
      </c>
      <c r="F239" s="476" t="s">
        <v>183</v>
      </c>
      <c r="G239" s="475" t="s">
        <v>185</v>
      </c>
      <c r="H239" s="475" t="s">
        <v>187</v>
      </c>
      <c r="J239" s="473">
        <v>12</v>
      </c>
      <c r="K239" s="475">
        <v>9209.2900000000009</v>
      </c>
    </row>
    <row r="240" spans="1:11" x14ac:dyDescent="0.2">
      <c r="A240" s="472" t="s">
        <v>338</v>
      </c>
      <c r="B240" s="472" t="s">
        <v>345</v>
      </c>
      <c r="C240" s="473">
        <v>1791</v>
      </c>
      <c r="D240" s="474">
        <v>43150</v>
      </c>
      <c r="E240" s="475">
        <v>11470.78</v>
      </c>
      <c r="F240" s="476" t="s">
        <v>183</v>
      </c>
      <c r="G240" s="475" t="s">
        <v>185</v>
      </c>
      <c r="H240" s="475" t="s">
        <v>187</v>
      </c>
      <c r="J240" s="473">
        <v>18</v>
      </c>
      <c r="K240" s="475">
        <v>438.34</v>
      </c>
    </row>
    <row r="241" spans="1:11" x14ac:dyDescent="0.2">
      <c r="A241" s="472" t="s">
        <v>338</v>
      </c>
      <c r="B241" s="472" t="s">
        <v>345</v>
      </c>
      <c r="C241" s="473">
        <v>1792</v>
      </c>
      <c r="D241" s="474">
        <v>43150</v>
      </c>
      <c r="E241" s="475">
        <v>12589.73</v>
      </c>
      <c r="F241" s="476" t="s">
        <v>183</v>
      </c>
      <c r="G241" s="475" t="s">
        <v>185</v>
      </c>
      <c r="H241" s="475" t="s">
        <v>187</v>
      </c>
      <c r="J241" s="473">
        <v>18</v>
      </c>
      <c r="K241" s="475">
        <v>10669.27</v>
      </c>
    </row>
    <row r="242" spans="1:11" x14ac:dyDescent="0.2">
      <c r="A242" s="472" t="s">
        <v>338</v>
      </c>
      <c r="B242" s="472" t="s">
        <v>345</v>
      </c>
      <c r="C242" s="473">
        <v>1793</v>
      </c>
      <c r="D242" s="474">
        <v>43150</v>
      </c>
      <c r="E242" s="475">
        <v>4062.24</v>
      </c>
      <c r="F242" s="476" t="s">
        <v>183</v>
      </c>
      <c r="G242" s="475" t="s">
        <v>185</v>
      </c>
      <c r="H242" s="475" t="s">
        <v>187</v>
      </c>
      <c r="J242" s="473">
        <v>18</v>
      </c>
      <c r="K242" s="475">
        <v>3442.576</v>
      </c>
    </row>
    <row r="243" spans="1:11" x14ac:dyDescent="0.2">
      <c r="A243" s="472" t="s">
        <v>338</v>
      </c>
      <c r="B243" s="472" t="s">
        <v>345</v>
      </c>
      <c r="C243" s="473">
        <v>1794</v>
      </c>
      <c r="D243" s="474">
        <v>43150</v>
      </c>
      <c r="E243" s="475">
        <v>5196.241</v>
      </c>
      <c r="F243" s="476" t="s">
        <v>183</v>
      </c>
      <c r="G243" s="475" t="s">
        <v>185</v>
      </c>
      <c r="H243" s="475" t="s">
        <v>187</v>
      </c>
      <c r="J243" s="473">
        <v>18</v>
      </c>
      <c r="K243" s="475">
        <v>4403.5929999999998</v>
      </c>
    </row>
    <row r="244" spans="1:11" x14ac:dyDescent="0.2">
      <c r="A244" s="472" t="s">
        <v>343</v>
      </c>
      <c r="B244" s="472" t="s">
        <v>351</v>
      </c>
      <c r="C244" s="473">
        <v>1795</v>
      </c>
      <c r="D244" s="474">
        <v>43150</v>
      </c>
      <c r="E244" s="475">
        <v>6643.4840000000004</v>
      </c>
      <c r="F244" s="476" t="s">
        <v>183</v>
      </c>
      <c r="G244" s="475" t="s">
        <v>185</v>
      </c>
      <c r="H244" s="475" t="s">
        <v>187</v>
      </c>
      <c r="J244" s="473">
        <v>12</v>
      </c>
      <c r="K244" s="475">
        <v>900.62300000000005</v>
      </c>
    </row>
    <row r="245" spans="1:11" x14ac:dyDescent="0.2">
      <c r="A245" s="472" t="s">
        <v>343</v>
      </c>
      <c r="B245" s="472" t="s">
        <v>351</v>
      </c>
      <c r="C245" s="473">
        <v>1795</v>
      </c>
      <c r="D245" s="474">
        <v>43150</v>
      </c>
      <c r="E245" s="475">
        <v>6643.4840000000004</v>
      </c>
      <c r="F245" s="476" t="s">
        <v>183</v>
      </c>
      <c r="G245" s="475" t="s">
        <v>185</v>
      </c>
      <c r="H245" s="475" t="s">
        <v>187</v>
      </c>
      <c r="J245" s="473">
        <v>18</v>
      </c>
      <c r="K245" s="475">
        <v>4775.241</v>
      </c>
    </row>
    <row r="246" spans="1:11" x14ac:dyDescent="0.2">
      <c r="A246" s="472" t="s">
        <v>338</v>
      </c>
      <c r="B246" s="472" t="s">
        <v>345</v>
      </c>
      <c r="C246" s="473">
        <v>1796</v>
      </c>
      <c r="D246" s="474">
        <v>43150</v>
      </c>
      <c r="E246" s="475">
        <v>3025.643</v>
      </c>
      <c r="F246" s="476" t="s">
        <v>183</v>
      </c>
      <c r="G246" s="475" t="s">
        <v>185</v>
      </c>
      <c r="H246" s="475" t="s">
        <v>187</v>
      </c>
      <c r="J246" s="473">
        <v>18</v>
      </c>
      <c r="K246" s="475">
        <v>2564.1030000000001</v>
      </c>
    </row>
    <row r="247" spans="1:11" x14ac:dyDescent="0.2">
      <c r="A247" s="472" t="s">
        <v>338</v>
      </c>
      <c r="B247" s="472" t="s">
        <v>345</v>
      </c>
      <c r="C247" s="473">
        <v>1797</v>
      </c>
      <c r="D247" s="474">
        <v>43152</v>
      </c>
      <c r="E247" s="475">
        <v>14473.050999999999</v>
      </c>
      <c r="F247" s="476" t="s">
        <v>183</v>
      </c>
      <c r="G247" s="475" t="s">
        <v>185</v>
      </c>
      <c r="H247" s="475" t="s">
        <v>187</v>
      </c>
      <c r="J247" s="473">
        <v>12</v>
      </c>
      <c r="K247" s="475">
        <v>8877.2729999999992</v>
      </c>
    </row>
    <row r="248" spans="1:11" x14ac:dyDescent="0.2">
      <c r="A248" s="472" t="s">
        <v>338</v>
      </c>
      <c r="B248" s="472" t="s">
        <v>345</v>
      </c>
      <c r="C248" s="473">
        <v>1797</v>
      </c>
      <c r="D248" s="474">
        <v>43152</v>
      </c>
      <c r="E248" s="475">
        <v>14473.050999999999</v>
      </c>
      <c r="F248" s="476" t="s">
        <v>183</v>
      </c>
      <c r="G248" s="475" t="s">
        <v>185</v>
      </c>
      <c r="H248" s="475" t="s">
        <v>187</v>
      </c>
      <c r="J248" s="473">
        <v>18</v>
      </c>
      <c r="K248" s="475">
        <v>5592.7709999999997</v>
      </c>
    </row>
    <row r="249" spans="1:11" x14ac:dyDescent="0.2">
      <c r="A249" s="472" t="s">
        <v>338</v>
      </c>
      <c r="B249" s="472" t="s">
        <v>345</v>
      </c>
      <c r="C249" s="473">
        <v>1798</v>
      </c>
      <c r="D249" s="474">
        <v>43152</v>
      </c>
      <c r="E249" s="475">
        <v>1603.6369999999999</v>
      </c>
      <c r="F249" s="476" t="s">
        <v>183</v>
      </c>
      <c r="G249" s="475" t="s">
        <v>185</v>
      </c>
      <c r="H249" s="475" t="s">
        <v>187</v>
      </c>
      <c r="J249" s="473">
        <v>12</v>
      </c>
      <c r="K249" s="475">
        <v>1431.819</v>
      </c>
    </row>
    <row r="250" spans="1:11" x14ac:dyDescent="0.2">
      <c r="A250" s="472" t="s">
        <v>338</v>
      </c>
      <c r="B250" s="472" t="s">
        <v>345</v>
      </c>
      <c r="C250" s="473">
        <v>1799</v>
      </c>
      <c r="D250" s="474">
        <v>43152</v>
      </c>
      <c r="E250" s="475">
        <v>9272.0840000000007</v>
      </c>
      <c r="F250" s="476" t="s">
        <v>183</v>
      </c>
      <c r="G250" s="475" t="s">
        <v>185</v>
      </c>
      <c r="H250" s="475" t="s">
        <v>187</v>
      </c>
      <c r="J250" s="473">
        <v>18</v>
      </c>
      <c r="K250" s="475">
        <v>7857.6980000000003</v>
      </c>
    </row>
    <row r="251" spans="1:11" x14ac:dyDescent="0.2">
      <c r="A251" s="472" t="s">
        <v>338</v>
      </c>
      <c r="B251" s="472" t="s">
        <v>345</v>
      </c>
      <c r="C251" s="473">
        <v>1800</v>
      </c>
      <c r="D251" s="474">
        <v>43152</v>
      </c>
      <c r="E251" s="475">
        <v>6758.6419999999998</v>
      </c>
      <c r="F251" s="476" t="s">
        <v>183</v>
      </c>
      <c r="G251" s="475" t="s">
        <v>185</v>
      </c>
      <c r="H251" s="475" t="s">
        <v>187</v>
      </c>
      <c r="J251" s="473">
        <v>18</v>
      </c>
      <c r="K251" s="475">
        <v>5727.6620000000003</v>
      </c>
    </row>
    <row r="252" spans="1:11" x14ac:dyDescent="0.2">
      <c r="A252" s="472" t="s">
        <v>338</v>
      </c>
      <c r="B252" s="472" t="s">
        <v>345</v>
      </c>
      <c r="C252" s="473">
        <v>1801</v>
      </c>
      <c r="D252" s="474">
        <v>43152</v>
      </c>
      <c r="E252" s="475">
        <v>7450.4189999999999</v>
      </c>
      <c r="F252" s="476" t="s">
        <v>183</v>
      </c>
      <c r="G252" s="475" t="s">
        <v>185</v>
      </c>
      <c r="H252" s="475" t="s">
        <v>187</v>
      </c>
      <c r="J252" s="473">
        <v>5</v>
      </c>
      <c r="K252" s="475">
        <v>2181.982</v>
      </c>
    </row>
    <row r="253" spans="1:11" x14ac:dyDescent="0.2">
      <c r="A253" s="472" t="s">
        <v>338</v>
      </c>
      <c r="B253" s="472" t="s">
        <v>345</v>
      </c>
      <c r="C253" s="473">
        <v>1801</v>
      </c>
      <c r="D253" s="474">
        <v>43152</v>
      </c>
      <c r="E253" s="475">
        <v>7450.4189999999999</v>
      </c>
      <c r="F253" s="476" t="s">
        <v>183</v>
      </c>
      <c r="G253" s="475" t="s">
        <v>185</v>
      </c>
      <c r="H253" s="475" t="s">
        <v>187</v>
      </c>
      <c r="J253" s="473">
        <v>12</v>
      </c>
      <c r="K253" s="475">
        <v>915.17899999999997</v>
      </c>
    </row>
    <row r="254" spans="1:11" x14ac:dyDescent="0.2">
      <c r="A254" s="472" t="s">
        <v>338</v>
      </c>
      <c r="B254" s="472" t="s">
        <v>345</v>
      </c>
      <c r="C254" s="473">
        <v>1801</v>
      </c>
      <c r="D254" s="474">
        <v>43152</v>
      </c>
      <c r="E254" s="475">
        <v>7450.4189999999999</v>
      </c>
      <c r="F254" s="476" t="s">
        <v>183</v>
      </c>
      <c r="G254" s="475" t="s">
        <v>185</v>
      </c>
      <c r="H254" s="475" t="s">
        <v>187</v>
      </c>
      <c r="J254" s="473">
        <v>18</v>
      </c>
      <c r="K254" s="475">
        <v>3503.6759999999999</v>
      </c>
    </row>
    <row r="255" spans="1:11" x14ac:dyDescent="0.2">
      <c r="A255" s="472" t="s">
        <v>338</v>
      </c>
      <c r="B255" s="472" t="s">
        <v>345</v>
      </c>
      <c r="C255" s="473">
        <v>1802</v>
      </c>
      <c r="D255" s="474">
        <v>43152</v>
      </c>
      <c r="E255" s="475">
        <v>6797.9189999999999</v>
      </c>
      <c r="F255" s="476" t="s">
        <v>183</v>
      </c>
      <c r="G255" s="475" t="s">
        <v>185</v>
      </c>
      <c r="H255" s="475" t="s">
        <v>187</v>
      </c>
      <c r="J255" s="473">
        <v>5</v>
      </c>
      <c r="K255" s="475">
        <v>3147.3519999999999</v>
      </c>
    </row>
    <row r="256" spans="1:11" x14ac:dyDescent="0.2">
      <c r="A256" s="472" t="s">
        <v>338</v>
      </c>
      <c r="B256" s="472" t="s">
        <v>345</v>
      </c>
      <c r="C256" s="473">
        <v>1802</v>
      </c>
      <c r="D256" s="474">
        <v>43152</v>
      </c>
      <c r="E256" s="475">
        <v>6797.9189999999999</v>
      </c>
      <c r="F256" s="476" t="s">
        <v>183</v>
      </c>
      <c r="G256" s="475" t="s">
        <v>185</v>
      </c>
      <c r="H256" s="475" t="s">
        <v>187</v>
      </c>
      <c r="J256" s="473">
        <v>12</v>
      </c>
      <c r="K256" s="475">
        <v>1427.6769999999999</v>
      </c>
    </row>
    <row r="257" spans="1:11" x14ac:dyDescent="0.2">
      <c r="A257" s="472" t="s">
        <v>338</v>
      </c>
      <c r="B257" s="472" t="s">
        <v>345</v>
      </c>
      <c r="C257" s="473">
        <v>1802</v>
      </c>
      <c r="D257" s="474">
        <v>43152</v>
      </c>
      <c r="E257" s="475">
        <v>6797.9189999999999</v>
      </c>
      <c r="F257" s="476" t="s">
        <v>183</v>
      </c>
      <c r="G257" s="475" t="s">
        <v>185</v>
      </c>
      <c r="H257" s="475" t="s">
        <v>187</v>
      </c>
      <c r="J257" s="473">
        <v>18</v>
      </c>
      <c r="K257" s="475">
        <v>1605.2539999999999</v>
      </c>
    </row>
    <row r="258" spans="1:11" x14ac:dyDescent="0.2">
      <c r="A258" s="472" t="s">
        <v>338</v>
      </c>
      <c r="B258" s="472" t="s">
        <v>345</v>
      </c>
      <c r="C258" s="473">
        <v>1803</v>
      </c>
      <c r="D258" s="474">
        <v>43153</v>
      </c>
      <c r="E258" s="475">
        <v>8535.0779999999995</v>
      </c>
      <c r="F258" s="476" t="s">
        <v>183</v>
      </c>
      <c r="G258" s="475" t="s">
        <v>185</v>
      </c>
      <c r="H258" s="475" t="s">
        <v>187</v>
      </c>
      <c r="J258" s="473">
        <v>5</v>
      </c>
      <c r="K258" s="475">
        <v>4332.8360000000002</v>
      </c>
    </row>
    <row r="259" spans="1:11" x14ac:dyDescent="0.2">
      <c r="A259" s="472" t="s">
        <v>338</v>
      </c>
      <c r="B259" s="472" t="s">
        <v>345</v>
      </c>
      <c r="C259" s="473">
        <v>1803</v>
      </c>
      <c r="D259" s="474">
        <v>43153</v>
      </c>
      <c r="E259" s="475">
        <v>8535.0779999999995</v>
      </c>
      <c r="F259" s="476" t="s">
        <v>183</v>
      </c>
      <c r="G259" s="475" t="s">
        <v>185</v>
      </c>
      <c r="H259" s="475" t="s">
        <v>187</v>
      </c>
      <c r="J259" s="473">
        <v>12</v>
      </c>
      <c r="K259" s="475">
        <v>812.67899999999997</v>
      </c>
    </row>
    <row r="260" spans="1:11" x14ac:dyDescent="0.2">
      <c r="A260" s="472" t="s">
        <v>338</v>
      </c>
      <c r="B260" s="472" t="s">
        <v>345</v>
      </c>
      <c r="C260" s="473">
        <v>1803</v>
      </c>
      <c r="D260" s="474">
        <v>43153</v>
      </c>
      <c r="E260" s="475">
        <v>8535.0779999999995</v>
      </c>
      <c r="F260" s="476" t="s">
        <v>183</v>
      </c>
      <c r="G260" s="475" t="s">
        <v>185</v>
      </c>
      <c r="H260" s="475" t="s">
        <v>187</v>
      </c>
      <c r="J260" s="473">
        <v>18</v>
      </c>
      <c r="K260" s="475">
        <v>2606.2710000000002</v>
      </c>
    </row>
    <row r="261" spans="1:11" x14ac:dyDescent="0.2">
      <c r="A261" s="472" t="s">
        <v>338</v>
      </c>
      <c r="B261" s="472" t="s">
        <v>345</v>
      </c>
      <c r="C261" s="473">
        <v>1804</v>
      </c>
      <c r="D261" s="474">
        <v>43153</v>
      </c>
      <c r="E261" s="475">
        <v>4002.34</v>
      </c>
      <c r="F261" s="476" t="s">
        <v>183</v>
      </c>
      <c r="G261" s="475" t="s">
        <v>185</v>
      </c>
      <c r="H261" s="475" t="s">
        <v>187</v>
      </c>
      <c r="J261" s="473">
        <v>5</v>
      </c>
      <c r="K261" s="475">
        <v>1714.896</v>
      </c>
    </row>
    <row r="262" spans="1:11" x14ac:dyDescent="0.2">
      <c r="A262" s="472" t="s">
        <v>338</v>
      </c>
      <c r="B262" s="472" t="s">
        <v>345</v>
      </c>
      <c r="C262" s="473">
        <v>1804</v>
      </c>
      <c r="D262" s="474">
        <v>43153</v>
      </c>
      <c r="E262" s="475">
        <v>4002.34</v>
      </c>
      <c r="F262" s="476" t="s">
        <v>183</v>
      </c>
      <c r="G262" s="475" t="s">
        <v>185</v>
      </c>
      <c r="H262" s="475" t="s">
        <v>187</v>
      </c>
      <c r="J262" s="473">
        <v>12</v>
      </c>
      <c r="K262" s="475">
        <v>900.53499999999997</v>
      </c>
    </row>
    <row r="263" spans="1:11" x14ac:dyDescent="0.2">
      <c r="A263" s="472" t="s">
        <v>338</v>
      </c>
      <c r="B263" s="472" t="s">
        <v>345</v>
      </c>
      <c r="C263" s="473">
        <v>1804</v>
      </c>
      <c r="D263" s="474">
        <v>43153</v>
      </c>
      <c r="E263" s="475">
        <v>4002.34</v>
      </c>
      <c r="F263" s="476" t="s">
        <v>183</v>
      </c>
      <c r="G263" s="475" t="s">
        <v>185</v>
      </c>
      <c r="H263" s="475" t="s">
        <v>187</v>
      </c>
      <c r="J263" s="473">
        <v>18</v>
      </c>
      <c r="K263" s="475">
        <v>1011.101</v>
      </c>
    </row>
    <row r="264" spans="1:11" x14ac:dyDescent="0.2">
      <c r="A264" s="472" t="s">
        <v>338</v>
      </c>
      <c r="B264" s="472" t="s">
        <v>345</v>
      </c>
      <c r="C264" s="473">
        <v>1805</v>
      </c>
      <c r="D264" s="474">
        <v>43153</v>
      </c>
      <c r="E264" s="475">
        <v>4007.3409999999999</v>
      </c>
      <c r="F264" s="476" t="s">
        <v>183</v>
      </c>
      <c r="G264" s="475" t="s">
        <v>185</v>
      </c>
      <c r="H264" s="475" t="s">
        <v>187</v>
      </c>
      <c r="J264" s="473">
        <v>5</v>
      </c>
      <c r="K264" s="475">
        <v>1262.8009999999999</v>
      </c>
    </row>
    <row r="265" spans="1:11" x14ac:dyDescent="0.2">
      <c r="A265" s="472" t="s">
        <v>338</v>
      </c>
      <c r="B265" s="472" t="s">
        <v>345</v>
      </c>
      <c r="C265" s="473">
        <v>1805</v>
      </c>
      <c r="D265" s="474">
        <v>43153</v>
      </c>
      <c r="E265" s="475">
        <v>4007.3409999999999</v>
      </c>
      <c r="F265" s="476" t="s">
        <v>183</v>
      </c>
      <c r="G265" s="475" t="s">
        <v>185</v>
      </c>
      <c r="H265" s="475" t="s">
        <v>187</v>
      </c>
      <c r="J265" s="473">
        <v>12</v>
      </c>
      <c r="K265" s="475">
        <v>900.53499999999997</v>
      </c>
    </row>
    <row r="266" spans="1:11" x14ac:dyDescent="0.2">
      <c r="A266" s="472" t="s">
        <v>338</v>
      </c>
      <c r="B266" s="472" t="s">
        <v>345</v>
      </c>
      <c r="C266" s="473">
        <v>1805</v>
      </c>
      <c r="D266" s="474">
        <v>43153</v>
      </c>
      <c r="E266" s="475">
        <v>4007.3409999999999</v>
      </c>
      <c r="F266" s="476" t="s">
        <v>183</v>
      </c>
      <c r="G266" s="475" t="s">
        <v>185</v>
      </c>
      <c r="H266" s="475" t="s">
        <v>187</v>
      </c>
      <c r="J266" s="473">
        <v>18</v>
      </c>
      <c r="K266" s="475">
        <v>1417.627</v>
      </c>
    </row>
    <row r="267" spans="1:11" x14ac:dyDescent="0.2">
      <c r="A267" s="472" t="s">
        <v>338</v>
      </c>
      <c r="B267" s="472" t="s">
        <v>345</v>
      </c>
      <c r="C267" s="473">
        <v>1806</v>
      </c>
      <c r="D267" s="474">
        <v>43153</v>
      </c>
      <c r="E267" s="475">
        <v>6313.8789999999999</v>
      </c>
      <c r="F267" s="476" t="s">
        <v>183</v>
      </c>
      <c r="G267" s="475" t="s">
        <v>185</v>
      </c>
      <c r="H267" s="475" t="s">
        <v>187</v>
      </c>
      <c r="J267" s="473">
        <v>5</v>
      </c>
      <c r="K267" s="475">
        <v>3287.694</v>
      </c>
    </row>
    <row r="268" spans="1:11" x14ac:dyDescent="0.2">
      <c r="A268" s="472" t="s">
        <v>338</v>
      </c>
      <c r="B268" s="472" t="s">
        <v>345</v>
      </c>
      <c r="C268" s="473">
        <v>1806</v>
      </c>
      <c r="D268" s="474">
        <v>43153</v>
      </c>
      <c r="E268" s="475">
        <v>6313.8789999999999</v>
      </c>
      <c r="F268" s="476" t="s">
        <v>183</v>
      </c>
      <c r="G268" s="475" t="s">
        <v>185</v>
      </c>
      <c r="H268" s="475" t="s">
        <v>187</v>
      </c>
      <c r="J268" s="473">
        <v>12</v>
      </c>
      <c r="K268" s="475">
        <v>863.92899999999997</v>
      </c>
    </row>
    <row r="269" spans="1:11" x14ac:dyDescent="0.2">
      <c r="A269" s="472" t="s">
        <v>338</v>
      </c>
      <c r="B269" s="472" t="s">
        <v>345</v>
      </c>
      <c r="C269" s="473">
        <v>1806</v>
      </c>
      <c r="D269" s="474">
        <v>43153</v>
      </c>
      <c r="E269" s="475">
        <v>6313.8789999999999</v>
      </c>
      <c r="F269" s="476" t="s">
        <v>183</v>
      </c>
      <c r="G269" s="475" t="s">
        <v>185</v>
      </c>
      <c r="H269" s="475" t="s">
        <v>187</v>
      </c>
      <c r="J269" s="473">
        <v>18</v>
      </c>
      <c r="K269" s="475">
        <v>1605.2539999999999</v>
      </c>
    </row>
    <row r="270" spans="1:11" x14ac:dyDescent="0.2">
      <c r="A270" s="472" t="s">
        <v>338</v>
      </c>
      <c r="B270" s="472" t="s">
        <v>345</v>
      </c>
      <c r="C270" s="473">
        <v>1807</v>
      </c>
      <c r="D270" s="474">
        <v>43153</v>
      </c>
      <c r="E270" s="475">
        <v>4322.4979999999996</v>
      </c>
      <c r="F270" s="476" t="s">
        <v>183</v>
      </c>
      <c r="G270" s="475" t="s">
        <v>185</v>
      </c>
      <c r="H270" s="475" t="s">
        <v>187</v>
      </c>
      <c r="J270" s="473">
        <v>5</v>
      </c>
      <c r="K270" s="475">
        <v>1629.848</v>
      </c>
    </row>
    <row r="271" spans="1:11" x14ac:dyDescent="0.2">
      <c r="A271" s="472" t="s">
        <v>338</v>
      </c>
      <c r="B271" s="472" t="s">
        <v>345</v>
      </c>
      <c r="C271" s="473">
        <v>1807</v>
      </c>
      <c r="D271" s="474">
        <v>43153</v>
      </c>
      <c r="E271" s="475">
        <v>4322.4979999999996</v>
      </c>
      <c r="F271" s="476" t="s">
        <v>183</v>
      </c>
      <c r="G271" s="475" t="s">
        <v>185</v>
      </c>
      <c r="H271" s="475" t="s">
        <v>187</v>
      </c>
      <c r="J271" s="473">
        <v>12</v>
      </c>
      <c r="K271" s="475">
        <v>768.75</v>
      </c>
    </row>
    <row r="272" spans="1:11" x14ac:dyDescent="0.2">
      <c r="A272" s="472" t="s">
        <v>338</v>
      </c>
      <c r="B272" s="472" t="s">
        <v>345</v>
      </c>
      <c r="C272" s="473">
        <v>1807</v>
      </c>
      <c r="D272" s="474">
        <v>43153</v>
      </c>
      <c r="E272" s="475">
        <v>4322.4979999999996</v>
      </c>
      <c r="F272" s="476" t="s">
        <v>183</v>
      </c>
      <c r="G272" s="475" t="s">
        <v>185</v>
      </c>
      <c r="H272" s="475" t="s">
        <v>187</v>
      </c>
      <c r="J272" s="473">
        <v>18</v>
      </c>
      <c r="K272" s="475">
        <v>1483.184</v>
      </c>
    </row>
    <row r="273" spans="1:11" x14ac:dyDescent="0.2">
      <c r="A273" s="472" t="s">
        <v>338</v>
      </c>
      <c r="B273" s="472" t="s">
        <v>345</v>
      </c>
      <c r="C273" s="473">
        <v>1808</v>
      </c>
      <c r="D273" s="474">
        <v>43153</v>
      </c>
      <c r="E273" s="475">
        <v>3349.8229999999999</v>
      </c>
      <c r="F273" s="476" t="s">
        <v>183</v>
      </c>
      <c r="G273" s="475" t="s">
        <v>185</v>
      </c>
      <c r="H273" s="475" t="s">
        <v>187</v>
      </c>
      <c r="J273" s="473">
        <v>12</v>
      </c>
      <c r="K273" s="475">
        <v>2990.913</v>
      </c>
    </row>
    <row r="274" spans="1:11" x14ac:dyDescent="0.2">
      <c r="A274" s="472" t="s">
        <v>338</v>
      </c>
      <c r="B274" s="472" t="s">
        <v>345</v>
      </c>
      <c r="C274" s="473">
        <v>1809</v>
      </c>
      <c r="D274" s="474">
        <v>43153</v>
      </c>
      <c r="E274" s="475">
        <v>15183.002</v>
      </c>
      <c r="F274" s="476" t="s">
        <v>183</v>
      </c>
      <c r="G274" s="475" t="s">
        <v>185</v>
      </c>
      <c r="H274" s="475" t="s">
        <v>187</v>
      </c>
      <c r="J274" s="473">
        <v>18</v>
      </c>
      <c r="K274" s="475">
        <v>12866.95</v>
      </c>
    </row>
    <row r="275" spans="1:11" x14ac:dyDescent="0.2">
      <c r="A275" s="472" t="s">
        <v>338</v>
      </c>
      <c r="B275" s="472" t="s">
        <v>345</v>
      </c>
      <c r="C275" s="473">
        <v>1810</v>
      </c>
      <c r="D275" s="474">
        <v>43153</v>
      </c>
      <c r="E275" s="475">
        <v>1260.001</v>
      </c>
      <c r="F275" s="476" t="s">
        <v>183</v>
      </c>
      <c r="G275" s="475" t="s">
        <v>185</v>
      </c>
      <c r="H275" s="475" t="s">
        <v>187</v>
      </c>
      <c r="J275" s="473">
        <v>18</v>
      </c>
      <c r="K275" s="475">
        <v>1067.797</v>
      </c>
    </row>
    <row r="276" spans="1:11" x14ac:dyDescent="0.2">
      <c r="A276" s="472" t="s">
        <v>338</v>
      </c>
      <c r="B276" s="472" t="s">
        <v>345</v>
      </c>
      <c r="C276" s="473">
        <v>1811</v>
      </c>
      <c r="D276" s="474">
        <v>43154</v>
      </c>
      <c r="E276" s="475">
        <v>2564.0940000000001</v>
      </c>
      <c r="F276" s="476" t="s">
        <v>183</v>
      </c>
      <c r="G276" s="475" t="s">
        <v>185</v>
      </c>
      <c r="H276" s="475" t="s">
        <v>187</v>
      </c>
      <c r="J276" s="473">
        <v>18</v>
      </c>
      <c r="K276" s="475">
        <v>2172.96</v>
      </c>
    </row>
    <row r="277" spans="1:11" x14ac:dyDescent="0.2">
      <c r="A277" s="472" t="s">
        <v>338</v>
      </c>
      <c r="B277" s="472" t="s">
        <v>345</v>
      </c>
      <c r="C277" s="473">
        <v>1812</v>
      </c>
      <c r="D277" s="474">
        <v>43155</v>
      </c>
      <c r="E277" s="475">
        <v>19227.580000000002</v>
      </c>
      <c r="F277" s="476" t="s">
        <v>183</v>
      </c>
      <c r="G277" s="475" t="s">
        <v>185</v>
      </c>
      <c r="H277" s="475" t="s">
        <v>187</v>
      </c>
      <c r="J277" s="473">
        <v>12</v>
      </c>
      <c r="K277" s="475">
        <v>958.69899999999996</v>
      </c>
    </row>
    <row r="278" spans="1:11" x14ac:dyDescent="0.2">
      <c r="A278" s="472" t="s">
        <v>338</v>
      </c>
      <c r="B278" s="472" t="s">
        <v>345</v>
      </c>
      <c r="C278" s="473">
        <v>1812</v>
      </c>
      <c r="D278" s="474">
        <v>43155</v>
      </c>
      <c r="E278" s="475">
        <v>19227.580000000002</v>
      </c>
      <c r="F278" s="476" t="s">
        <v>183</v>
      </c>
      <c r="G278" s="475" t="s">
        <v>185</v>
      </c>
      <c r="H278" s="475" t="s">
        <v>187</v>
      </c>
      <c r="J278" s="473">
        <v>18</v>
      </c>
      <c r="K278" s="475">
        <v>15384.607</v>
      </c>
    </row>
    <row r="279" spans="1:11" x14ac:dyDescent="0.2">
      <c r="A279" s="472" t="s">
        <v>338</v>
      </c>
      <c r="B279" s="472" t="s">
        <v>345</v>
      </c>
      <c r="C279" s="473">
        <v>1813</v>
      </c>
      <c r="D279" s="474">
        <v>43155</v>
      </c>
      <c r="E279" s="475">
        <v>5009.7389999999996</v>
      </c>
      <c r="F279" s="476" t="s">
        <v>183</v>
      </c>
      <c r="G279" s="475" t="s">
        <v>185</v>
      </c>
      <c r="H279" s="475" t="s">
        <v>187</v>
      </c>
      <c r="J279" s="473">
        <v>5</v>
      </c>
      <c r="K279" s="475">
        <v>2248.7060000000001</v>
      </c>
    </row>
    <row r="280" spans="1:11" x14ac:dyDescent="0.2">
      <c r="A280" s="472" t="s">
        <v>338</v>
      </c>
      <c r="B280" s="472" t="s">
        <v>345</v>
      </c>
      <c r="C280" s="473">
        <v>1813</v>
      </c>
      <c r="D280" s="474">
        <v>43155</v>
      </c>
      <c r="E280" s="475">
        <v>5009.7389999999996</v>
      </c>
      <c r="F280" s="476" t="s">
        <v>183</v>
      </c>
      <c r="G280" s="475" t="s">
        <v>185</v>
      </c>
      <c r="H280" s="475" t="s">
        <v>187</v>
      </c>
      <c r="J280" s="473">
        <v>12</v>
      </c>
      <c r="K280" s="475">
        <v>1068.9269999999999</v>
      </c>
    </row>
    <row r="281" spans="1:11" x14ac:dyDescent="0.2">
      <c r="A281" s="472" t="s">
        <v>338</v>
      </c>
      <c r="B281" s="472" t="s">
        <v>345</v>
      </c>
      <c r="C281" s="473">
        <v>1813</v>
      </c>
      <c r="D281" s="474">
        <v>43155</v>
      </c>
      <c r="E281" s="475">
        <v>5009.7389999999996</v>
      </c>
      <c r="F281" s="476" t="s">
        <v>183</v>
      </c>
      <c r="G281" s="475" t="s">
        <v>185</v>
      </c>
      <c r="H281" s="475" t="s">
        <v>187</v>
      </c>
      <c r="J281" s="473">
        <v>18</v>
      </c>
      <c r="K281" s="475">
        <v>1230</v>
      </c>
    </row>
    <row r="282" spans="1:11" x14ac:dyDescent="0.2">
      <c r="A282" s="472" t="s">
        <v>338</v>
      </c>
      <c r="B282" s="472" t="s">
        <v>345</v>
      </c>
      <c r="C282" s="473">
        <v>1814</v>
      </c>
      <c r="D282" s="474">
        <v>43155</v>
      </c>
      <c r="E282" s="475">
        <v>16314.483</v>
      </c>
      <c r="F282" s="476" t="s">
        <v>183</v>
      </c>
      <c r="G282" s="475" t="s">
        <v>185</v>
      </c>
      <c r="H282" s="475" t="s">
        <v>187</v>
      </c>
      <c r="J282" s="473">
        <v>18</v>
      </c>
      <c r="K282" s="475">
        <v>13825.831</v>
      </c>
    </row>
    <row r="283" spans="1:11" x14ac:dyDescent="0.2">
      <c r="A283" s="472" t="s">
        <v>338</v>
      </c>
      <c r="B283" s="472" t="s">
        <v>345</v>
      </c>
      <c r="C283" s="473">
        <v>1815</v>
      </c>
      <c r="D283" s="474">
        <v>43155</v>
      </c>
      <c r="E283" s="475">
        <v>8205.1239999999998</v>
      </c>
      <c r="F283" s="476" t="s">
        <v>183</v>
      </c>
      <c r="G283" s="475" t="s">
        <v>185</v>
      </c>
      <c r="H283" s="475" t="s">
        <v>187</v>
      </c>
      <c r="J283" s="473">
        <v>18</v>
      </c>
      <c r="K283" s="475">
        <v>6953.4939999999997</v>
      </c>
    </row>
    <row r="284" spans="1:11" x14ac:dyDescent="0.2">
      <c r="A284" s="472" t="s">
        <v>338</v>
      </c>
      <c r="B284" s="472" t="s">
        <v>345</v>
      </c>
      <c r="C284" s="473">
        <v>1816</v>
      </c>
      <c r="D284" s="474">
        <v>43155</v>
      </c>
      <c r="E284" s="475">
        <v>7401.9840000000004</v>
      </c>
      <c r="F284" s="476" t="s">
        <v>183</v>
      </c>
      <c r="G284" s="475" t="s">
        <v>185</v>
      </c>
      <c r="H284" s="475" t="s">
        <v>187</v>
      </c>
      <c r="J284" s="473">
        <v>12</v>
      </c>
      <c r="K284" s="475">
        <v>381.81799999999998</v>
      </c>
    </row>
    <row r="285" spans="1:11" x14ac:dyDescent="0.2">
      <c r="A285" s="472" t="s">
        <v>338</v>
      </c>
      <c r="B285" s="472" t="s">
        <v>345</v>
      </c>
      <c r="C285" s="473">
        <v>1816</v>
      </c>
      <c r="D285" s="474">
        <v>43155</v>
      </c>
      <c r="E285" s="475">
        <v>7401.9840000000004</v>
      </c>
      <c r="F285" s="476" t="s">
        <v>183</v>
      </c>
      <c r="G285" s="475" t="s">
        <v>185</v>
      </c>
      <c r="H285" s="475" t="s">
        <v>187</v>
      </c>
      <c r="J285" s="473">
        <v>18</v>
      </c>
      <c r="K285" s="475">
        <v>5910.4639999999999</v>
      </c>
    </row>
    <row r="286" spans="1:11" x14ac:dyDescent="0.2">
      <c r="A286" s="472" t="s">
        <v>338</v>
      </c>
      <c r="B286" s="472" t="s">
        <v>345</v>
      </c>
      <c r="C286" s="473">
        <v>1817</v>
      </c>
      <c r="D286" s="474">
        <v>43158</v>
      </c>
      <c r="E286" s="475">
        <v>6436.08</v>
      </c>
      <c r="F286" s="476" t="s">
        <v>183</v>
      </c>
      <c r="G286" s="475" t="s">
        <v>185</v>
      </c>
      <c r="H286" s="475" t="s">
        <v>187</v>
      </c>
      <c r="J286" s="473">
        <v>18</v>
      </c>
      <c r="K286" s="475">
        <v>5454.31</v>
      </c>
    </row>
    <row r="287" spans="1:11" x14ac:dyDescent="0.2">
      <c r="A287" s="472" t="s">
        <v>338</v>
      </c>
      <c r="B287" s="472" t="s">
        <v>345</v>
      </c>
      <c r="C287" s="473">
        <v>1818</v>
      </c>
      <c r="D287" s="474">
        <v>43158</v>
      </c>
      <c r="E287" s="475">
        <v>9036.7150000000001</v>
      </c>
      <c r="F287" s="476" t="s">
        <v>183</v>
      </c>
      <c r="G287" s="475" t="s">
        <v>185</v>
      </c>
      <c r="H287" s="475" t="s">
        <v>187</v>
      </c>
      <c r="J287" s="473">
        <v>18</v>
      </c>
      <c r="K287" s="475">
        <v>7658.2330000000002</v>
      </c>
    </row>
    <row r="288" spans="1:11" x14ac:dyDescent="0.2">
      <c r="A288" s="472" t="s">
        <v>338</v>
      </c>
      <c r="B288" s="472" t="s">
        <v>345</v>
      </c>
      <c r="C288" s="473">
        <v>1819</v>
      </c>
      <c r="D288" s="474">
        <v>43160</v>
      </c>
      <c r="E288" s="475">
        <v>7384.607</v>
      </c>
      <c r="F288" s="476" t="s">
        <v>183</v>
      </c>
      <c r="G288" s="475" t="s">
        <v>185</v>
      </c>
      <c r="H288" s="475" t="s">
        <v>187</v>
      </c>
      <c r="J288" s="473">
        <v>18</v>
      </c>
      <c r="K288" s="475">
        <v>6258.1409999999996</v>
      </c>
    </row>
    <row r="289" spans="1:11" x14ac:dyDescent="0.2">
      <c r="A289" s="472" t="s">
        <v>338</v>
      </c>
      <c r="B289" s="472" t="s">
        <v>345</v>
      </c>
      <c r="C289" s="473">
        <v>1820</v>
      </c>
      <c r="D289" s="474">
        <v>43161</v>
      </c>
      <c r="E289" s="475">
        <v>12433.674000000001</v>
      </c>
      <c r="F289" s="476" t="s">
        <v>183</v>
      </c>
      <c r="G289" s="475" t="s">
        <v>185</v>
      </c>
      <c r="H289" s="475" t="s">
        <v>187</v>
      </c>
      <c r="J289" s="473">
        <v>18</v>
      </c>
      <c r="K289" s="475">
        <v>10537.012000000001</v>
      </c>
    </row>
    <row r="290" spans="1:11" x14ac:dyDescent="0.2">
      <c r="A290" s="472" t="s">
        <v>338</v>
      </c>
      <c r="B290" s="472" t="s">
        <v>345</v>
      </c>
      <c r="C290" s="473">
        <v>1821</v>
      </c>
      <c r="D290" s="474">
        <v>43161</v>
      </c>
      <c r="E290" s="475">
        <v>17180.022000000001</v>
      </c>
      <c r="F290" s="476" t="s">
        <v>183</v>
      </c>
      <c r="G290" s="475" t="s">
        <v>185</v>
      </c>
      <c r="H290" s="475" t="s">
        <v>187</v>
      </c>
      <c r="J290" s="473">
        <v>12</v>
      </c>
      <c r="K290" s="475">
        <v>1537.499</v>
      </c>
    </row>
    <row r="291" spans="1:11" x14ac:dyDescent="0.2">
      <c r="A291" s="472" t="s">
        <v>338</v>
      </c>
      <c r="B291" s="472" t="s">
        <v>345</v>
      </c>
      <c r="C291" s="473">
        <v>1821</v>
      </c>
      <c r="D291" s="474">
        <v>43161</v>
      </c>
      <c r="E291" s="475">
        <v>17180.022000000001</v>
      </c>
      <c r="F291" s="476" t="s">
        <v>183</v>
      </c>
      <c r="G291" s="475" t="s">
        <v>185</v>
      </c>
      <c r="H291" s="475" t="s">
        <v>187</v>
      </c>
      <c r="J291" s="473">
        <v>18</v>
      </c>
      <c r="K291" s="475">
        <v>13100.017</v>
      </c>
    </row>
    <row r="292" spans="1:11" x14ac:dyDescent="0.2">
      <c r="A292" s="472" t="s">
        <v>338</v>
      </c>
      <c r="B292" s="472" t="s">
        <v>345</v>
      </c>
      <c r="C292" s="473">
        <v>1822</v>
      </c>
      <c r="D292" s="474">
        <v>43162</v>
      </c>
      <c r="E292" s="475">
        <v>7781.76</v>
      </c>
      <c r="F292" s="476" t="s">
        <v>183</v>
      </c>
      <c r="G292" s="475" t="s">
        <v>185</v>
      </c>
      <c r="H292" s="475" t="s">
        <v>187</v>
      </c>
      <c r="J292" s="473">
        <v>18</v>
      </c>
      <c r="K292" s="475">
        <v>6594.7120000000004</v>
      </c>
    </row>
    <row r="293" spans="1:11" x14ac:dyDescent="0.2">
      <c r="A293" s="472" t="s">
        <v>338</v>
      </c>
      <c r="B293" s="472" t="s">
        <v>345</v>
      </c>
      <c r="C293" s="473">
        <v>1823</v>
      </c>
      <c r="D293" s="474">
        <v>43162</v>
      </c>
      <c r="E293" s="475">
        <v>11999.994000000001</v>
      </c>
      <c r="F293" s="476" t="s">
        <v>183</v>
      </c>
      <c r="G293" s="475" t="s">
        <v>185</v>
      </c>
      <c r="H293" s="475" t="s">
        <v>187</v>
      </c>
      <c r="J293" s="473">
        <v>18</v>
      </c>
      <c r="K293" s="475">
        <v>10169.486000000001</v>
      </c>
    </row>
    <row r="294" spans="1:11" x14ac:dyDescent="0.2">
      <c r="A294" s="472" t="s">
        <v>338</v>
      </c>
      <c r="B294" s="472" t="s">
        <v>345</v>
      </c>
      <c r="C294" s="473">
        <v>1824</v>
      </c>
      <c r="D294" s="474">
        <v>43164</v>
      </c>
      <c r="E294" s="475">
        <v>14548.218000000001</v>
      </c>
      <c r="F294" s="476" t="s">
        <v>183</v>
      </c>
      <c r="G294" s="475" t="s">
        <v>185</v>
      </c>
      <c r="H294" s="475" t="s">
        <v>187</v>
      </c>
      <c r="J294" s="473">
        <v>18</v>
      </c>
      <c r="K294" s="475">
        <v>12328.998</v>
      </c>
    </row>
    <row r="295" spans="1:11" x14ac:dyDescent="0.2">
      <c r="A295" s="472" t="s">
        <v>338</v>
      </c>
      <c r="B295" s="472" t="s">
        <v>345</v>
      </c>
      <c r="C295" s="473">
        <v>1825</v>
      </c>
      <c r="D295" s="474">
        <v>43164</v>
      </c>
      <c r="E295" s="475">
        <v>8065.2830000000004</v>
      </c>
      <c r="F295" s="476" t="s">
        <v>183</v>
      </c>
      <c r="G295" s="475" t="s">
        <v>185</v>
      </c>
      <c r="H295" s="475" t="s">
        <v>187</v>
      </c>
      <c r="J295" s="473">
        <v>18</v>
      </c>
      <c r="K295" s="475">
        <v>6834.9870000000001</v>
      </c>
    </row>
    <row r="296" spans="1:11" x14ac:dyDescent="0.2">
      <c r="A296" s="472" t="s">
        <v>338</v>
      </c>
      <c r="B296" s="472" t="s">
        <v>345</v>
      </c>
      <c r="C296" s="473">
        <v>1826</v>
      </c>
      <c r="D296" s="474">
        <v>43165</v>
      </c>
      <c r="E296" s="475">
        <v>11999.999</v>
      </c>
      <c r="F296" s="476" t="s">
        <v>183</v>
      </c>
      <c r="G296" s="475" t="s">
        <v>185</v>
      </c>
      <c r="H296" s="475" t="s">
        <v>187</v>
      </c>
      <c r="J296" s="473">
        <v>18</v>
      </c>
      <c r="K296" s="475">
        <v>10169.491</v>
      </c>
    </row>
    <row r="297" spans="1:11" x14ac:dyDescent="0.2">
      <c r="A297" s="472" t="s">
        <v>338</v>
      </c>
      <c r="B297" s="472" t="s">
        <v>345</v>
      </c>
      <c r="C297" s="473">
        <v>1827</v>
      </c>
      <c r="D297" s="474">
        <v>43165</v>
      </c>
      <c r="E297" s="475">
        <v>17942.403999999999</v>
      </c>
      <c r="F297" s="476" t="s">
        <v>183</v>
      </c>
      <c r="G297" s="475" t="s">
        <v>185</v>
      </c>
      <c r="H297" s="475" t="s">
        <v>187</v>
      </c>
      <c r="J297" s="473">
        <v>18</v>
      </c>
      <c r="K297" s="475">
        <v>15205.425999999999</v>
      </c>
    </row>
    <row r="298" spans="1:11" x14ac:dyDescent="0.2">
      <c r="A298" s="472" t="s">
        <v>342</v>
      </c>
      <c r="B298" s="472" t="s">
        <v>349</v>
      </c>
      <c r="C298" s="473">
        <v>1828</v>
      </c>
      <c r="D298" s="474">
        <v>43165</v>
      </c>
      <c r="E298" s="475">
        <v>6330.4380000000001</v>
      </c>
      <c r="F298" s="476" t="s">
        <v>183</v>
      </c>
      <c r="G298" s="475" t="s">
        <v>185</v>
      </c>
      <c r="H298" s="475" t="s">
        <v>187</v>
      </c>
      <c r="J298" s="473">
        <v>18</v>
      </c>
      <c r="K298" s="475">
        <v>5364.7780000000002</v>
      </c>
    </row>
    <row r="299" spans="1:11" x14ac:dyDescent="0.2">
      <c r="A299" s="472" t="s">
        <v>339</v>
      </c>
      <c r="B299" s="472" t="s">
        <v>346</v>
      </c>
      <c r="C299" s="473">
        <v>1829</v>
      </c>
      <c r="D299" s="474">
        <v>43168</v>
      </c>
      <c r="E299" s="475">
        <v>1669.5650000000001</v>
      </c>
      <c r="F299" s="476" t="s">
        <v>183</v>
      </c>
      <c r="G299" s="475" t="s">
        <v>185</v>
      </c>
      <c r="H299" s="475" t="s">
        <v>187</v>
      </c>
      <c r="J299" s="473">
        <v>12</v>
      </c>
      <c r="K299" s="475">
        <v>1490.683</v>
      </c>
    </row>
    <row r="300" spans="1:11" x14ac:dyDescent="0.2">
      <c r="A300" s="472" t="s">
        <v>338</v>
      </c>
      <c r="B300" s="472" t="s">
        <v>345</v>
      </c>
      <c r="C300" s="473">
        <v>1830</v>
      </c>
      <c r="D300" s="474">
        <v>43168</v>
      </c>
      <c r="E300" s="475">
        <v>8328.6679999999997</v>
      </c>
      <c r="F300" s="476" t="s">
        <v>183</v>
      </c>
      <c r="G300" s="475" t="s">
        <v>185</v>
      </c>
      <c r="H300" s="475" t="s">
        <v>187</v>
      </c>
      <c r="J300" s="473">
        <v>12</v>
      </c>
      <c r="K300" s="475">
        <v>547.82799999999997</v>
      </c>
    </row>
    <row r="301" spans="1:11" x14ac:dyDescent="0.2">
      <c r="A301" s="472" t="s">
        <v>338</v>
      </c>
      <c r="B301" s="472" t="s">
        <v>345</v>
      </c>
      <c r="C301" s="473">
        <v>1830</v>
      </c>
      <c r="D301" s="474">
        <v>43168</v>
      </c>
      <c r="E301" s="475">
        <v>8328.6679999999997</v>
      </c>
      <c r="F301" s="476" t="s">
        <v>183</v>
      </c>
      <c r="G301" s="475" t="s">
        <v>185</v>
      </c>
      <c r="H301" s="475" t="s">
        <v>187</v>
      </c>
      <c r="J301" s="473">
        <v>18</v>
      </c>
      <c r="K301" s="475">
        <v>6538.2219999999998</v>
      </c>
    </row>
    <row r="302" spans="1:11" x14ac:dyDescent="0.2">
      <c r="A302" s="472" t="s">
        <v>338</v>
      </c>
      <c r="B302" s="472" t="s">
        <v>345</v>
      </c>
      <c r="C302" s="473">
        <v>1831</v>
      </c>
      <c r="D302" s="474">
        <v>43169</v>
      </c>
      <c r="E302" s="475">
        <v>14172.483</v>
      </c>
      <c r="F302" s="476" t="s">
        <v>183</v>
      </c>
      <c r="G302" s="475" t="s">
        <v>185</v>
      </c>
      <c r="H302" s="475" t="s">
        <v>187</v>
      </c>
      <c r="J302" s="473">
        <v>18</v>
      </c>
      <c r="K302" s="475">
        <v>12010.576999999999</v>
      </c>
    </row>
    <row r="303" spans="1:11" x14ac:dyDescent="0.2">
      <c r="A303" s="472" t="s">
        <v>338</v>
      </c>
      <c r="B303" s="472" t="s">
        <v>345</v>
      </c>
      <c r="C303" s="473">
        <v>1832</v>
      </c>
      <c r="D303" s="474">
        <v>43169</v>
      </c>
      <c r="E303" s="475">
        <v>3200.3989999999999</v>
      </c>
      <c r="F303" s="476" t="s">
        <v>183</v>
      </c>
      <c r="G303" s="475" t="s">
        <v>185</v>
      </c>
      <c r="H303" s="475" t="s">
        <v>187</v>
      </c>
      <c r="J303" s="473">
        <v>18</v>
      </c>
      <c r="K303" s="475">
        <v>2712.203</v>
      </c>
    </row>
    <row r="304" spans="1:11" x14ac:dyDescent="0.2">
      <c r="A304" s="472" t="s">
        <v>338</v>
      </c>
      <c r="B304" s="472" t="s">
        <v>345</v>
      </c>
      <c r="C304" s="473">
        <v>1833</v>
      </c>
      <c r="D304" s="474">
        <v>43169</v>
      </c>
      <c r="E304" s="475">
        <v>5345.4549999999999</v>
      </c>
      <c r="F304" s="476" t="s">
        <v>183</v>
      </c>
      <c r="G304" s="475" t="s">
        <v>185</v>
      </c>
      <c r="H304" s="475" t="s">
        <v>187</v>
      </c>
      <c r="J304" s="473">
        <v>12</v>
      </c>
      <c r="K304" s="475">
        <v>4772.7269999999999</v>
      </c>
    </row>
    <row r="305" spans="1:11" x14ac:dyDescent="0.2">
      <c r="A305" s="472" t="s">
        <v>338</v>
      </c>
      <c r="B305" s="472" t="s">
        <v>345</v>
      </c>
      <c r="C305" s="473">
        <v>1834</v>
      </c>
      <c r="D305" s="474">
        <v>43171</v>
      </c>
      <c r="E305" s="475">
        <v>17942.392</v>
      </c>
      <c r="F305" s="476" t="s">
        <v>183</v>
      </c>
      <c r="G305" s="475" t="s">
        <v>185</v>
      </c>
      <c r="H305" s="475" t="s">
        <v>187</v>
      </c>
      <c r="J305" s="473">
        <v>18</v>
      </c>
      <c r="K305" s="475">
        <v>15205.415999999999</v>
      </c>
    </row>
    <row r="306" spans="1:11" x14ac:dyDescent="0.2">
      <c r="A306" s="472" t="s">
        <v>338</v>
      </c>
      <c r="B306" s="472" t="s">
        <v>345</v>
      </c>
      <c r="C306" s="473">
        <v>1835</v>
      </c>
      <c r="D306" s="474">
        <v>43173</v>
      </c>
      <c r="E306" s="475">
        <v>3398.183</v>
      </c>
      <c r="F306" s="476" t="s">
        <v>183</v>
      </c>
      <c r="G306" s="475" t="s">
        <v>185</v>
      </c>
      <c r="H306" s="475" t="s">
        <v>187</v>
      </c>
      <c r="J306" s="473">
        <v>12</v>
      </c>
      <c r="K306" s="475">
        <v>1909.0920000000001</v>
      </c>
    </row>
    <row r="307" spans="1:11" x14ac:dyDescent="0.2">
      <c r="A307" s="472" t="s">
        <v>338</v>
      </c>
      <c r="B307" s="472" t="s">
        <v>345</v>
      </c>
      <c r="C307" s="473">
        <v>1835</v>
      </c>
      <c r="D307" s="474">
        <v>43173</v>
      </c>
      <c r="E307" s="475">
        <v>3398.183</v>
      </c>
      <c r="F307" s="476" t="s">
        <v>183</v>
      </c>
      <c r="G307" s="475" t="s">
        <v>185</v>
      </c>
      <c r="H307" s="475" t="s">
        <v>187</v>
      </c>
      <c r="J307" s="473">
        <v>18</v>
      </c>
      <c r="K307" s="475">
        <v>1067.797</v>
      </c>
    </row>
    <row r="308" spans="1:11" x14ac:dyDescent="0.2">
      <c r="A308" s="472" t="s">
        <v>338</v>
      </c>
      <c r="B308" s="472" t="s">
        <v>345</v>
      </c>
      <c r="C308" s="473">
        <v>1836</v>
      </c>
      <c r="D308" s="474">
        <v>43174</v>
      </c>
      <c r="E308" s="475">
        <v>8201.7909999999993</v>
      </c>
      <c r="F308" s="476" t="s">
        <v>183</v>
      </c>
      <c r="G308" s="475" t="s">
        <v>185</v>
      </c>
      <c r="H308" s="475" t="s">
        <v>187</v>
      </c>
      <c r="J308" s="473">
        <v>5</v>
      </c>
      <c r="K308" s="475">
        <v>608.69600000000003</v>
      </c>
    </row>
    <row r="309" spans="1:11" x14ac:dyDescent="0.2">
      <c r="A309" s="472" t="s">
        <v>338</v>
      </c>
      <c r="B309" s="472" t="s">
        <v>345</v>
      </c>
      <c r="C309" s="473">
        <v>1836</v>
      </c>
      <c r="D309" s="474">
        <v>43174</v>
      </c>
      <c r="E309" s="475">
        <v>8201.7909999999993</v>
      </c>
      <c r="F309" s="476" t="s">
        <v>183</v>
      </c>
      <c r="G309" s="475" t="s">
        <v>185</v>
      </c>
      <c r="H309" s="475" t="s">
        <v>187</v>
      </c>
      <c r="J309" s="473">
        <v>12</v>
      </c>
      <c r="K309" s="475">
        <v>6752.375</v>
      </c>
    </row>
    <row r="310" spans="1:11" x14ac:dyDescent="0.2">
      <c r="A310" s="472" t="s">
        <v>338</v>
      </c>
      <c r="B310" s="472" t="s">
        <v>345</v>
      </c>
      <c r="C310" s="473">
        <v>1837</v>
      </c>
      <c r="D310" s="474">
        <v>43174</v>
      </c>
      <c r="E310" s="475">
        <v>2751.75</v>
      </c>
      <c r="F310" s="476" t="s">
        <v>183</v>
      </c>
      <c r="G310" s="475" t="s">
        <v>185</v>
      </c>
      <c r="H310" s="475" t="s">
        <v>187</v>
      </c>
      <c r="J310" s="473">
        <v>12</v>
      </c>
      <c r="K310" s="475">
        <v>2456.92</v>
      </c>
    </row>
    <row r="311" spans="1:11" x14ac:dyDescent="0.2">
      <c r="A311" s="472" t="s">
        <v>338</v>
      </c>
      <c r="B311" s="472" t="s">
        <v>350</v>
      </c>
      <c r="C311" s="473">
        <v>1838</v>
      </c>
      <c r="D311" s="474">
        <v>43176</v>
      </c>
      <c r="E311" s="475">
        <v>5426.0889999999999</v>
      </c>
      <c r="F311" s="476" t="s">
        <v>183</v>
      </c>
      <c r="G311" s="475" t="s">
        <v>185</v>
      </c>
      <c r="H311" s="475" t="s">
        <v>187</v>
      </c>
      <c r="J311" s="473">
        <v>18</v>
      </c>
      <c r="K311" s="475">
        <v>4598.3810000000003</v>
      </c>
    </row>
    <row r="312" spans="1:11" x14ac:dyDescent="0.2">
      <c r="A312" s="472" t="s">
        <v>338</v>
      </c>
      <c r="B312" s="472" t="s">
        <v>345</v>
      </c>
      <c r="C312" s="473">
        <v>1839</v>
      </c>
      <c r="D312" s="474">
        <v>43176</v>
      </c>
      <c r="E312" s="475">
        <v>9336.6039999999994</v>
      </c>
      <c r="F312" s="476" t="s">
        <v>183</v>
      </c>
      <c r="G312" s="475" t="s">
        <v>185</v>
      </c>
      <c r="H312" s="475" t="s">
        <v>187</v>
      </c>
      <c r="J312" s="473">
        <v>18</v>
      </c>
      <c r="K312" s="475">
        <v>7912.3739999999998</v>
      </c>
    </row>
    <row r="313" spans="1:11" x14ac:dyDescent="0.2">
      <c r="A313" s="472" t="s">
        <v>338</v>
      </c>
      <c r="B313" s="472" t="s">
        <v>345</v>
      </c>
      <c r="C313" s="473">
        <v>1840</v>
      </c>
      <c r="D313" s="474">
        <v>43176</v>
      </c>
      <c r="E313" s="475">
        <v>11768.396000000001</v>
      </c>
      <c r="F313" s="476" t="s">
        <v>183</v>
      </c>
      <c r="G313" s="475" t="s">
        <v>185</v>
      </c>
      <c r="H313" s="475" t="s">
        <v>187</v>
      </c>
      <c r="J313" s="473">
        <v>18</v>
      </c>
      <c r="K313" s="475">
        <v>9973.2160000000003</v>
      </c>
    </row>
    <row r="314" spans="1:11" x14ac:dyDescent="0.2">
      <c r="A314" s="472" t="s">
        <v>338</v>
      </c>
      <c r="B314" s="472" t="s">
        <v>345</v>
      </c>
      <c r="C314" s="473">
        <v>1841</v>
      </c>
      <c r="D314" s="474">
        <v>43176</v>
      </c>
      <c r="E314" s="475">
        <v>1041.204</v>
      </c>
      <c r="F314" s="476" t="s">
        <v>183</v>
      </c>
      <c r="G314" s="475" t="s">
        <v>185</v>
      </c>
      <c r="H314" s="475" t="s">
        <v>187</v>
      </c>
      <c r="J314" s="473">
        <v>12</v>
      </c>
      <c r="K314" s="475">
        <v>929.64599999999996</v>
      </c>
    </row>
    <row r="315" spans="1:11" x14ac:dyDescent="0.2">
      <c r="A315" s="472" t="s">
        <v>338</v>
      </c>
      <c r="B315" s="472" t="s">
        <v>345</v>
      </c>
      <c r="C315" s="473">
        <v>1842</v>
      </c>
      <c r="D315" s="474">
        <v>43176</v>
      </c>
      <c r="E315" s="475">
        <v>13940.64</v>
      </c>
      <c r="F315" s="476" t="s">
        <v>183</v>
      </c>
      <c r="G315" s="475" t="s">
        <v>185</v>
      </c>
      <c r="H315" s="475" t="s">
        <v>187</v>
      </c>
      <c r="J315" s="473">
        <v>18</v>
      </c>
      <c r="K315" s="475">
        <v>11814.1</v>
      </c>
    </row>
    <row r="316" spans="1:11" x14ac:dyDescent="0.2">
      <c r="A316" s="472" t="s">
        <v>338</v>
      </c>
      <c r="B316" s="472" t="s">
        <v>345</v>
      </c>
      <c r="C316" s="473">
        <v>1843</v>
      </c>
      <c r="D316" s="474">
        <v>43176</v>
      </c>
      <c r="E316" s="475">
        <v>15680.665999999999</v>
      </c>
      <c r="F316" s="476" t="s">
        <v>183</v>
      </c>
      <c r="G316" s="475" t="s">
        <v>185</v>
      </c>
      <c r="H316" s="475" t="s">
        <v>187</v>
      </c>
      <c r="J316" s="473">
        <v>18</v>
      </c>
      <c r="K316" s="475">
        <v>13288.698</v>
      </c>
    </row>
    <row r="317" spans="1:11" x14ac:dyDescent="0.2">
      <c r="A317" s="472" t="s">
        <v>338</v>
      </c>
      <c r="B317" s="472" t="s">
        <v>345</v>
      </c>
      <c r="C317" s="473">
        <v>1844</v>
      </c>
      <c r="D317" s="474">
        <v>43178</v>
      </c>
      <c r="E317" s="475">
        <v>9692.3009999999995</v>
      </c>
      <c r="F317" s="476" t="s">
        <v>183</v>
      </c>
      <c r="G317" s="475" t="s">
        <v>185</v>
      </c>
      <c r="H317" s="475" t="s">
        <v>187</v>
      </c>
      <c r="J317" s="473">
        <v>18</v>
      </c>
      <c r="K317" s="475">
        <v>8213.8130000000001</v>
      </c>
    </row>
    <row r="318" spans="1:11" x14ac:dyDescent="0.2">
      <c r="A318" s="472" t="s">
        <v>338</v>
      </c>
      <c r="B318" s="472" t="s">
        <v>345</v>
      </c>
      <c r="C318" s="473">
        <v>1845</v>
      </c>
      <c r="D318" s="474">
        <v>43179</v>
      </c>
      <c r="E318" s="475">
        <v>6655.3209999999999</v>
      </c>
      <c r="F318" s="476" t="s">
        <v>183</v>
      </c>
      <c r="G318" s="475" t="s">
        <v>185</v>
      </c>
      <c r="H318" s="475" t="s">
        <v>187</v>
      </c>
      <c r="J318" s="473">
        <v>18</v>
      </c>
      <c r="K318" s="475">
        <v>5640.1030000000001</v>
      </c>
    </row>
    <row r="319" spans="1:11" x14ac:dyDescent="0.2">
      <c r="A319" s="472" t="s">
        <v>338</v>
      </c>
      <c r="B319" s="472" t="s">
        <v>345</v>
      </c>
      <c r="C319" s="473">
        <v>1846</v>
      </c>
      <c r="D319" s="474">
        <v>43179</v>
      </c>
      <c r="E319" s="475">
        <v>3776.64</v>
      </c>
      <c r="F319" s="476" t="s">
        <v>183</v>
      </c>
      <c r="G319" s="475" t="s">
        <v>185</v>
      </c>
      <c r="H319" s="475" t="s">
        <v>187</v>
      </c>
      <c r="J319" s="473">
        <v>18</v>
      </c>
      <c r="K319" s="475">
        <v>3200.5419999999999</v>
      </c>
    </row>
    <row r="320" spans="1:11" x14ac:dyDescent="0.2">
      <c r="A320" s="472" t="s">
        <v>338</v>
      </c>
      <c r="B320" s="472" t="s">
        <v>345</v>
      </c>
      <c r="C320" s="473">
        <v>1847</v>
      </c>
      <c r="D320" s="474">
        <v>43192</v>
      </c>
      <c r="E320" s="475">
        <v>20853.314999999999</v>
      </c>
      <c r="F320" s="476" t="s">
        <v>183</v>
      </c>
      <c r="G320" s="475" t="s">
        <v>185</v>
      </c>
      <c r="H320" s="475" t="s">
        <v>187</v>
      </c>
      <c r="J320" s="473">
        <v>18</v>
      </c>
      <c r="K320" s="475">
        <v>17672.298999999999</v>
      </c>
    </row>
    <row r="321" spans="1:11" x14ac:dyDescent="0.2">
      <c r="A321" s="472" t="s">
        <v>338</v>
      </c>
      <c r="B321" s="472" t="s">
        <v>345</v>
      </c>
      <c r="C321" s="473">
        <v>1848</v>
      </c>
      <c r="D321" s="474">
        <v>43192</v>
      </c>
      <c r="E321" s="475">
        <v>21520.968000000001</v>
      </c>
      <c r="F321" s="476" t="s">
        <v>183</v>
      </c>
      <c r="G321" s="475" t="s">
        <v>185</v>
      </c>
      <c r="H321" s="475" t="s">
        <v>187</v>
      </c>
      <c r="J321" s="473">
        <v>12</v>
      </c>
      <c r="K321" s="475">
        <v>2456.92</v>
      </c>
    </row>
    <row r="322" spans="1:11" x14ac:dyDescent="0.2">
      <c r="A322" s="472" t="s">
        <v>338</v>
      </c>
      <c r="B322" s="472" t="s">
        <v>345</v>
      </c>
      <c r="C322" s="473">
        <v>1848</v>
      </c>
      <c r="D322" s="474">
        <v>43192</v>
      </c>
      <c r="E322" s="475">
        <v>21520.968000000001</v>
      </c>
      <c r="F322" s="476" t="s">
        <v>183</v>
      </c>
      <c r="G322" s="475" t="s">
        <v>185</v>
      </c>
      <c r="H322" s="475" t="s">
        <v>187</v>
      </c>
      <c r="J322" s="473">
        <v>18</v>
      </c>
      <c r="K322" s="475">
        <v>15906.116</v>
      </c>
    </row>
    <row r="323" spans="1:11" x14ac:dyDescent="0.2">
      <c r="A323" s="472" t="s">
        <v>338</v>
      </c>
      <c r="B323" s="472" t="s">
        <v>345</v>
      </c>
      <c r="C323" s="473">
        <v>1849</v>
      </c>
      <c r="D323" s="474">
        <v>43192</v>
      </c>
      <c r="E323" s="475">
        <v>15563.519</v>
      </c>
      <c r="F323" s="476" t="s">
        <v>183</v>
      </c>
      <c r="G323" s="475" t="s">
        <v>185</v>
      </c>
      <c r="H323" s="475" t="s">
        <v>187</v>
      </c>
      <c r="J323" s="473">
        <v>18</v>
      </c>
      <c r="K323" s="475">
        <v>13189.421</v>
      </c>
    </row>
    <row r="324" spans="1:11" x14ac:dyDescent="0.2">
      <c r="A324" s="472" t="s">
        <v>338</v>
      </c>
      <c r="B324" s="472" t="s">
        <v>345</v>
      </c>
      <c r="C324" s="473">
        <v>1850</v>
      </c>
      <c r="D324" s="474">
        <v>43192</v>
      </c>
      <c r="E324" s="475">
        <v>11285.753000000001</v>
      </c>
      <c r="F324" s="476" t="s">
        <v>183</v>
      </c>
      <c r="G324" s="475" t="s">
        <v>185</v>
      </c>
      <c r="H324" s="475" t="s">
        <v>187</v>
      </c>
      <c r="J324" s="473">
        <v>18</v>
      </c>
      <c r="K324" s="475">
        <v>9564.1949999999997</v>
      </c>
    </row>
    <row r="325" spans="1:11" x14ac:dyDescent="0.2">
      <c r="A325" s="472" t="s">
        <v>338</v>
      </c>
      <c r="B325" s="472" t="s">
        <v>345</v>
      </c>
      <c r="C325" s="473">
        <v>1851</v>
      </c>
      <c r="D325" s="474">
        <v>43193</v>
      </c>
      <c r="E325" s="475">
        <v>14830.438</v>
      </c>
      <c r="F325" s="476" t="s">
        <v>183</v>
      </c>
      <c r="G325" s="475" t="s">
        <v>185</v>
      </c>
      <c r="H325" s="475" t="s">
        <v>187</v>
      </c>
      <c r="J325" s="473">
        <v>12</v>
      </c>
      <c r="K325" s="475">
        <v>3004.748</v>
      </c>
    </row>
    <row r="326" spans="1:11" x14ac:dyDescent="0.2">
      <c r="A326" s="472" t="s">
        <v>338</v>
      </c>
      <c r="B326" s="472" t="s">
        <v>345</v>
      </c>
      <c r="C326" s="473">
        <v>1851</v>
      </c>
      <c r="D326" s="474">
        <v>43193</v>
      </c>
      <c r="E326" s="475">
        <v>14830.438</v>
      </c>
      <c r="F326" s="476" t="s">
        <v>183</v>
      </c>
      <c r="G326" s="475" t="s">
        <v>185</v>
      </c>
      <c r="H326" s="475" t="s">
        <v>187</v>
      </c>
      <c r="J326" s="473">
        <v>18</v>
      </c>
      <c r="K326" s="475">
        <v>9716.2039999999997</v>
      </c>
    </row>
    <row r="327" spans="1:11" x14ac:dyDescent="0.2">
      <c r="A327" s="472" t="s">
        <v>338</v>
      </c>
      <c r="B327" s="472" t="s">
        <v>345</v>
      </c>
      <c r="C327" s="473">
        <v>1852</v>
      </c>
      <c r="D327" s="474">
        <v>43193</v>
      </c>
      <c r="E327" s="475">
        <v>11643.169</v>
      </c>
      <c r="F327" s="476" t="s">
        <v>183</v>
      </c>
      <c r="G327" s="475" t="s">
        <v>185</v>
      </c>
      <c r="H327" s="475" t="s">
        <v>187</v>
      </c>
      <c r="J327" s="473">
        <v>12</v>
      </c>
      <c r="K327" s="475">
        <v>2863.6370000000002</v>
      </c>
    </row>
    <row r="328" spans="1:11" x14ac:dyDescent="0.2">
      <c r="A328" s="472" t="s">
        <v>338</v>
      </c>
      <c r="B328" s="472" t="s">
        <v>345</v>
      </c>
      <c r="C328" s="473">
        <v>1852</v>
      </c>
      <c r="D328" s="474">
        <v>43193</v>
      </c>
      <c r="E328" s="475">
        <v>11643.169</v>
      </c>
      <c r="F328" s="476" t="s">
        <v>183</v>
      </c>
      <c r="G328" s="475" t="s">
        <v>185</v>
      </c>
      <c r="H328" s="475" t="s">
        <v>187</v>
      </c>
      <c r="J328" s="473">
        <v>18</v>
      </c>
      <c r="K328" s="475">
        <v>7149.0640000000003</v>
      </c>
    </row>
    <row r="329" spans="1:11" x14ac:dyDescent="0.2">
      <c r="A329" s="472" t="s">
        <v>338</v>
      </c>
      <c r="B329" s="472" t="s">
        <v>345</v>
      </c>
      <c r="C329" s="473">
        <v>1853</v>
      </c>
      <c r="D329" s="474">
        <v>43193</v>
      </c>
      <c r="E329" s="475">
        <v>29769.581999999999</v>
      </c>
      <c r="F329" s="476" t="s">
        <v>183</v>
      </c>
      <c r="G329" s="475" t="s">
        <v>185</v>
      </c>
      <c r="H329" s="475" t="s">
        <v>187</v>
      </c>
      <c r="J329" s="473">
        <v>5</v>
      </c>
      <c r="K329" s="475">
        <v>431.08600000000001</v>
      </c>
    </row>
    <row r="330" spans="1:11" x14ac:dyDescent="0.2">
      <c r="A330" s="472" t="s">
        <v>338</v>
      </c>
      <c r="B330" s="472" t="s">
        <v>345</v>
      </c>
      <c r="C330" s="473">
        <v>1853</v>
      </c>
      <c r="D330" s="474">
        <v>43193</v>
      </c>
      <c r="E330" s="475">
        <v>29769.581999999999</v>
      </c>
      <c r="F330" s="476" t="s">
        <v>183</v>
      </c>
      <c r="G330" s="475" t="s">
        <v>185</v>
      </c>
      <c r="H330" s="475" t="s">
        <v>187</v>
      </c>
      <c r="J330" s="473">
        <v>12</v>
      </c>
      <c r="K330" s="475">
        <v>7706.9189999999999</v>
      </c>
    </row>
    <row r="331" spans="1:11" x14ac:dyDescent="0.2">
      <c r="A331" s="472" t="s">
        <v>338</v>
      </c>
      <c r="B331" s="472" t="s">
        <v>345</v>
      </c>
      <c r="C331" s="473">
        <v>1853</v>
      </c>
      <c r="D331" s="474">
        <v>43193</v>
      </c>
      <c r="E331" s="475">
        <v>29769.581999999999</v>
      </c>
      <c r="F331" s="476" t="s">
        <v>183</v>
      </c>
      <c r="G331" s="475" t="s">
        <v>185</v>
      </c>
      <c r="H331" s="475" t="s">
        <v>187</v>
      </c>
      <c r="J331" s="473">
        <v>18</v>
      </c>
      <c r="K331" s="475">
        <v>17529.825000000001</v>
      </c>
    </row>
    <row r="332" spans="1:11" x14ac:dyDescent="0.2">
      <c r="A332" s="472" t="s">
        <v>338</v>
      </c>
      <c r="B332" s="472" t="s">
        <v>345</v>
      </c>
      <c r="C332" s="473">
        <v>1854</v>
      </c>
      <c r="D332" s="474">
        <v>43194</v>
      </c>
      <c r="E332" s="475">
        <v>10372.321</v>
      </c>
      <c r="F332" s="476" t="s">
        <v>183</v>
      </c>
      <c r="G332" s="475" t="s">
        <v>185</v>
      </c>
      <c r="H332" s="475" t="s">
        <v>187</v>
      </c>
      <c r="J332" s="473">
        <v>18</v>
      </c>
      <c r="K332" s="475">
        <v>8790.1029999999992</v>
      </c>
    </row>
    <row r="333" spans="1:11" x14ac:dyDescent="0.2">
      <c r="A333" s="472" t="s">
        <v>338</v>
      </c>
      <c r="B333" s="472" t="s">
        <v>345</v>
      </c>
      <c r="C333" s="473">
        <v>1855</v>
      </c>
      <c r="D333" s="474">
        <v>43194</v>
      </c>
      <c r="E333" s="475">
        <v>4257.6980000000003</v>
      </c>
      <c r="F333" s="476" t="s">
        <v>183</v>
      </c>
      <c r="G333" s="475" t="s">
        <v>185</v>
      </c>
      <c r="H333" s="475" t="s">
        <v>187</v>
      </c>
      <c r="J333" s="473">
        <v>12</v>
      </c>
      <c r="K333" s="475">
        <v>3228.8560000000002</v>
      </c>
    </row>
    <row r="334" spans="1:11" x14ac:dyDescent="0.2">
      <c r="A334" s="472" t="s">
        <v>338</v>
      </c>
      <c r="B334" s="472" t="s">
        <v>345</v>
      </c>
      <c r="C334" s="473">
        <v>1855</v>
      </c>
      <c r="D334" s="474">
        <v>43194</v>
      </c>
      <c r="E334" s="475">
        <v>4257.6980000000003</v>
      </c>
      <c r="F334" s="476" t="s">
        <v>183</v>
      </c>
      <c r="G334" s="475" t="s">
        <v>185</v>
      </c>
      <c r="H334" s="475" t="s">
        <v>187</v>
      </c>
      <c r="J334" s="473">
        <v>18</v>
      </c>
      <c r="K334" s="475">
        <v>543.54200000000003</v>
      </c>
    </row>
    <row r="335" spans="1:11" x14ac:dyDescent="0.2">
      <c r="A335" s="472" t="s">
        <v>338</v>
      </c>
      <c r="B335" s="472" t="s">
        <v>345</v>
      </c>
      <c r="C335" s="473">
        <v>1856</v>
      </c>
      <c r="D335" s="474">
        <v>43194</v>
      </c>
      <c r="E335" s="475">
        <v>6493.5659999999998</v>
      </c>
      <c r="F335" s="476" t="s">
        <v>183</v>
      </c>
      <c r="G335" s="475" t="s">
        <v>185</v>
      </c>
      <c r="H335" s="475" t="s">
        <v>187</v>
      </c>
      <c r="J335" s="473">
        <v>12</v>
      </c>
      <c r="K335" s="475">
        <v>5797.8280000000004</v>
      </c>
    </row>
    <row r="336" spans="1:11" x14ac:dyDescent="0.2">
      <c r="A336" s="472" t="s">
        <v>342</v>
      </c>
      <c r="B336" s="472" t="s">
        <v>349</v>
      </c>
      <c r="C336" s="473">
        <v>1857</v>
      </c>
      <c r="D336" s="474">
        <v>43194</v>
      </c>
      <c r="E336" s="475">
        <v>7730.4380000000001</v>
      </c>
      <c r="F336" s="476" t="s">
        <v>183</v>
      </c>
      <c r="G336" s="475" t="s">
        <v>185</v>
      </c>
      <c r="H336" s="475" t="s">
        <v>187</v>
      </c>
      <c r="J336" s="473">
        <v>18</v>
      </c>
      <c r="K336" s="475">
        <v>6551.2179999999998</v>
      </c>
    </row>
    <row r="337" spans="1:11" x14ac:dyDescent="0.2">
      <c r="A337" s="472" t="s">
        <v>338</v>
      </c>
      <c r="B337" s="472" t="s">
        <v>345</v>
      </c>
      <c r="C337" s="473">
        <v>1858</v>
      </c>
      <c r="D337" s="474">
        <v>43194</v>
      </c>
      <c r="E337" s="475">
        <v>9611.2749999999996</v>
      </c>
      <c r="F337" s="476" t="s">
        <v>183</v>
      </c>
      <c r="G337" s="475" t="s">
        <v>185</v>
      </c>
      <c r="H337" s="475" t="s">
        <v>187</v>
      </c>
      <c r="J337" s="473">
        <v>18</v>
      </c>
      <c r="K337" s="475">
        <v>8145.1469999999999</v>
      </c>
    </row>
    <row r="338" spans="1:11" x14ac:dyDescent="0.2">
      <c r="A338" s="472" t="s">
        <v>338</v>
      </c>
      <c r="B338" s="472" t="s">
        <v>345</v>
      </c>
      <c r="C338" s="473">
        <v>1859</v>
      </c>
      <c r="D338" s="474">
        <v>43195</v>
      </c>
      <c r="E338" s="475">
        <v>33439.108</v>
      </c>
      <c r="F338" s="476" t="s">
        <v>183</v>
      </c>
      <c r="G338" s="475" t="s">
        <v>185</v>
      </c>
      <c r="H338" s="475" t="s">
        <v>187</v>
      </c>
      <c r="J338" s="473">
        <v>5</v>
      </c>
      <c r="K338" s="475">
        <v>405.798</v>
      </c>
    </row>
    <row r="339" spans="1:11" x14ac:dyDescent="0.2">
      <c r="A339" s="472" t="s">
        <v>338</v>
      </c>
      <c r="B339" s="472" t="s">
        <v>345</v>
      </c>
      <c r="C339" s="473">
        <v>1859</v>
      </c>
      <c r="D339" s="474">
        <v>43195</v>
      </c>
      <c r="E339" s="475">
        <v>33439.108</v>
      </c>
      <c r="F339" s="476" t="s">
        <v>183</v>
      </c>
      <c r="G339" s="475" t="s">
        <v>185</v>
      </c>
      <c r="H339" s="475" t="s">
        <v>187</v>
      </c>
      <c r="J339" s="473">
        <v>12</v>
      </c>
      <c r="K339" s="475">
        <v>7655.7370000000001</v>
      </c>
    </row>
    <row r="340" spans="1:11" x14ac:dyDescent="0.2">
      <c r="A340" s="472" t="s">
        <v>338</v>
      </c>
      <c r="B340" s="472" t="s">
        <v>345</v>
      </c>
      <c r="C340" s="473">
        <v>1859</v>
      </c>
      <c r="D340" s="474">
        <v>43195</v>
      </c>
      <c r="E340" s="475">
        <v>33439.108</v>
      </c>
      <c r="F340" s="476" t="s">
        <v>183</v>
      </c>
      <c r="G340" s="475" t="s">
        <v>185</v>
      </c>
      <c r="H340" s="475" t="s">
        <v>187</v>
      </c>
      <c r="J340" s="473">
        <v>18</v>
      </c>
      <c r="K340" s="475">
        <v>22955.56</v>
      </c>
    </row>
    <row r="341" spans="1:11" x14ac:dyDescent="0.2">
      <c r="A341" s="472" t="s">
        <v>338</v>
      </c>
      <c r="B341" s="472" t="s">
        <v>345</v>
      </c>
      <c r="C341" s="473">
        <v>1860</v>
      </c>
      <c r="D341" s="474">
        <v>43195</v>
      </c>
      <c r="E341" s="475">
        <v>19283.039000000001</v>
      </c>
      <c r="F341" s="476" t="s">
        <v>183</v>
      </c>
      <c r="G341" s="475" t="s">
        <v>185</v>
      </c>
      <c r="H341" s="475" t="s">
        <v>187</v>
      </c>
      <c r="J341" s="473">
        <v>18</v>
      </c>
      <c r="K341" s="475">
        <v>16341.557000000001</v>
      </c>
    </row>
    <row r="342" spans="1:11" x14ac:dyDescent="0.2">
      <c r="A342" s="472" t="s">
        <v>338</v>
      </c>
      <c r="B342" s="472" t="s">
        <v>345</v>
      </c>
      <c r="C342" s="473">
        <v>1861</v>
      </c>
      <c r="D342" s="474">
        <v>43195</v>
      </c>
      <c r="E342" s="475">
        <v>24317.347000000002</v>
      </c>
      <c r="F342" s="476" t="s">
        <v>183</v>
      </c>
      <c r="G342" s="475" t="s">
        <v>185</v>
      </c>
      <c r="H342" s="475" t="s">
        <v>187</v>
      </c>
      <c r="J342" s="473">
        <v>12</v>
      </c>
      <c r="K342" s="475">
        <v>5711.6419999999998</v>
      </c>
    </row>
    <row r="343" spans="1:11" x14ac:dyDescent="0.2">
      <c r="A343" s="472" t="s">
        <v>338</v>
      </c>
      <c r="B343" s="472" t="s">
        <v>345</v>
      </c>
      <c r="C343" s="473">
        <v>1861</v>
      </c>
      <c r="D343" s="474">
        <v>43195</v>
      </c>
      <c r="E343" s="475">
        <v>24317.347000000002</v>
      </c>
      <c r="F343" s="476" t="s">
        <v>183</v>
      </c>
      <c r="G343" s="475" t="s">
        <v>185</v>
      </c>
      <c r="H343" s="475" t="s">
        <v>187</v>
      </c>
      <c r="J343" s="473">
        <v>18</v>
      </c>
      <c r="K343" s="475">
        <v>15186.700999999999</v>
      </c>
    </row>
    <row r="344" spans="1:11" x14ac:dyDescent="0.2">
      <c r="A344" s="472" t="s">
        <v>338</v>
      </c>
      <c r="B344" s="472" t="s">
        <v>345</v>
      </c>
      <c r="C344" s="473">
        <v>1862</v>
      </c>
      <c r="D344" s="474">
        <v>43196</v>
      </c>
      <c r="E344" s="475">
        <v>19675.701000000001</v>
      </c>
      <c r="F344" s="476" t="s">
        <v>183</v>
      </c>
      <c r="G344" s="475" t="s">
        <v>185</v>
      </c>
      <c r="H344" s="475" t="s">
        <v>187</v>
      </c>
      <c r="J344" s="473">
        <v>12</v>
      </c>
      <c r="K344" s="475">
        <v>3818.1819999999998</v>
      </c>
    </row>
    <row r="345" spans="1:11" x14ac:dyDescent="0.2">
      <c r="A345" s="472" t="s">
        <v>338</v>
      </c>
      <c r="B345" s="472" t="s">
        <v>345</v>
      </c>
      <c r="C345" s="473">
        <v>1862</v>
      </c>
      <c r="D345" s="474">
        <v>43196</v>
      </c>
      <c r="E345" s="475">
        <v>19675.701000000001</v>
      </c>
      <c r="F345" s="476" t="s">
        <v>183</v>
      </c>
      <c r="G345" s="475" t="s">
        <v>185</v>
      </c>
      <c r="H345" s="475" t="s">
        <v>187</v>
      </c>
      <c r="J345" s="473">
        <v>18</v>
      </c>
      <c r="K345" s="475">
        <v>13956.294</v>
      </c>
    </row>
    <row r="346" spans="1:11" x14ac:dyDescent="0.2">
      <c r="A346" s="472" t="s">
        <v>338</v>
      </c>
      <c r="B346" s="472" t="s">
        <v>345</v>
      </c>
      <c r="C346" s="473">
        <v>1863</v>
      </c>
      <c r="D346" s="474">
        <v>43196</v>
      </c>
      <c r="E346" s="475">
        <v>27992.047999999999</v>
      </c>
      <c r="F346" s="476" t="s">
        <v>183</v>
      </c>
      <c r="G346" s="475" t="s">
        <v>185</v>
      </c>
      <c r="H346" s="475" t="s">
        <v>187</v>
      </c>
      <c r="J346" s="473">
        <v>12</v>
      </c>
      <c r="K346" s="475">
        <v>3071.2280000000001</v>
      </c>
    </row>
    <row r="347" spans="1:11" x14ac:dyDescent="0.2">
      <c r="A347" s="472" t="s">
        <v>338</v>
      </c>
      <c r="B347" s="472" t="s">
        <v>345</v>
      </c>
      <c r="C347" s="473">
        <v>1863</v>
      </c>
      <c r="D347" s="474">
        <v>43196</v>
      </c>
      <c r="E347" s="475">
        <v>27992.047999999999</v>
      </c>
      <c r="F347" s="476" t="s">
        <v>183</v>
      </c>
      <c r="G347" s="475" t="s">
        <v>185</v>
      </c>
      <c r="H347" s="475" t="s">
        <v>187</v>
      </c>
      <c r="J347" s="473">
        <v>18</v>
      </c>
      <c r="K347" s="475">
        <v>20807.009999999998</v>
      </c>
    </row>
    <row r="348" spans="1:11" x14ac:dyDescent="0.2">
      <c r="A348" s="472" t="s">
        <v>338</v>
      </c>
      <c r="B348" s="472" t="s">
        <v>345</v>
      </c>
      <c r="C348" s="473">
        <v>1864</v>
      </c>
      <c r="D348" s="474">
        <v>43196</v>
      </c>
      <c r="E348" s="475">
        <v>2769.2370000000001</v>
      </c>
      <c r="F348" s="476" t="s">
        <v>183</v>
      </c>
      <c r="G348" s="475" t="s">
        <v>185</v>
      </c>
      <c r="H348" s="475" t="s">
        <v>187</v>
      </c>
      <c r="J348" s="473">
        <v>18</v>
      </c>
      <c r="K348" s="475">
        <v>2346.8110000000001</v>
      </c>
    </row>
    <row r="349" spans="1:11" x14ac:dyDescent="0.2">
      <c r="A349" s="472" t="s">
        <v>338</v>
      </c>
      <c r="B349" s="472" t="s">
        <v>345</v>
      </c>
      <c r="C349" s="473">
        <v>1865</v>
      </c>
      <c r="D349" s="474">
        <v>43196</v>
      </c>
      <c r="E349" s="475">
        <v>3897.433</v>
      </c>
      <c r="F349" s="476" t="s">
        <v>183</v>
      </c>
      <c r="G349" s="475" t="s">
        <v>185</v>
      </c>
      <c r="H349" s="475" t="s">
        <v>187</v>
      </c>
      <c r="J349" s="473">
        <v>18</v>
      </c>
      <c r="K349" s="475">
        <v>3302.9090000000001</v>
      </c>
    </row>
    <row r="350" spans="1:11" x14ac:dyDescent="0.2">
      <c r="A350" s="472" t="s">
        <v>338</v>
      </c>
      <c r="B350" s="472" t="s">
        <v>345</v>
      </c>
      <c r="C350" s="473">
        <v>1866</v>
      </c>
      <c r="D350" s="474">
        <v>43197</v>
      </c>
      <c r="E350" s="475">
        <v>4102.5590000000002</v>
      </c>
      <c r="F350" s="476" t="s">
        <v>183</v>
      </c>
      <c r="G350" s="475" t="s">
        <v>185</v>
      </c>
      <c r="H350" s="475" t="s">
        <v>187</v>
      </c>
      <c r="J350" s="473">
        <v>18</v>
      </c>
      <c r="K350" s="475">
        <v>3476.7449999999999</v>
      </c>
    </row>
    <row r="351" spans="1:11" x14ac:dyDescent="0.2">
      <c r="A351" s="472" t="s">
        <v>338</v>
      </c>
      <c r="B351" s="472" t="s">
        <v>345</v>
      </c>
      <c r="C351" s="473">
        <v>1867</v>
      </c>
      <c r="D351" s="474">
        <v>43197</v>
      </c>
      <c r="E351" s="475">
        <v>6564.0870000000004</v>
      </c>
      <c r="F351" s="476" t="s">
        <v>183</v>
      </c>
      <c r="G351" s="475" t="s">
        <v>185</v>
      </c>
      <c r="H351" s="475" t="s">
        <v>187</v>
      </c>
      <c r="J351" s="473">
        <v>18</v>
      </c>
      <c r="K351" s="475">
        <v>5562.7849999999999</v>
      </c>
    </row>
    <row r="352" spans="1:11" x14ac:dyDescent="0.2">
      <c r="A352" s="472" t="s">
        <v>338</v>
      </c>
      <c r="B352" s="472" t="s">
        <v>345</v>
      </c>
      <c r="C352" s="473">
        <v>1868</v>
      </c>
      <c r="D352" s="474">
        <v>43197</v>
      </c>
      <c r="E352" s="475">
        <v>17969.286</v>
      </c>
      <c r="F352" s="476" t="s">
        <v>183</v>
      </c>
      <c r="G352" s="475" t="s">
        <v>185</v>
      </c>
      <c r="H352" s="475" t="s">
        <v>187</v>
      </c>
      <c r="J352" s="473">
        <v>18</v>
      </c>
      <c r="K352" s="475">
        <v>15228.208000000001</v>
      </c>
    </row>
    <row r="353" spans="1:11" x14ac:dyDescent="0.2">
      <c r="A353" s="472" t="s">
        <v>338</v>
      </c>
      <c r="B353" s="472" t="s">
        <v>345</v>
      </c>
      <c r="C353" s="473">
        <v>1869</v>
      </c>
      <c r="D353" s="474">
        <v>43199</v>
      </c>
      <c r="E353" s="475">
        <v>10005.032999999999</v>
      </c>
      <c r="F353" s="476" t="s">
        <v>183</v>
      </c>
      <c r="G353" s="475" t="s">
        <v>185</v>
      </c>
      <c r="H353" s="475" t="s">
        <v>187</v>
      </c>
      <c r="J353" s="473">
        <v>18</v>
      </c>
      <c r="K353" s="475">
        <v>8478.8410000000003</v>
      </c>
    </row>
    <row r="354" spans="1:11" x14ac:dyDescent="0.2">
      <c r="A354" s="472" t="s">
        <v>338</v>
      </c>
      <c r="B354" s="472" t="s">
        <v>345</v>
      </c>
      <c r="C354" s="473">
        <v>1870</v>
      </c>
      <c r="D354" s="474">
        <v>43200</v>
      </c>
      <c r="E354" s="475">
        <v>18735.815999999999</v>
      </c>
      <c r="F354" s="476" t="s">
        <v>183</v>
      </c>
      <c r="G354" s="475" t="s">
        <v>185</v>
      </c>
      <c r="H354" s="475" t="s">
        <v>187</v>
      </c>
      <c r="J354" s="473">
        <v>12</v>
      </c>
      <c r="K354" s="475">
        <v>3340.91</v>
      </c>
    </row>
    <row r="355" spans="1:11" x14ac:dyDescent="0.2">
      <c r="A355" s="472" t="s">
        <v>338</v>
      </c>
      <c r="B355" s="472" t="s">
        <v>345</v>
      </c>
      <c r="C355" s="473">
        <v>1870</v>
      </c>
      <c r="D355" s="474">
        <v>43200</v>
      </c>
      <c r="E355" s="475">
        <v>18735.815999999999</v>
      </c>
      <c r="F355" s="476" t="s">
        <v>183</v>
      </c>
      <c r="G355" s="475" t="s">
        <v>185</v>
      </c>
      <c r="H355" s="475" t="s">
        <v>187</v>
      </c>
      <c r="J355" s="473">
        <v>18</v>
      </c>
      <c r="K355" s="475">
        <v>12706.776</v>
      </c>
    </row>
    <row r="356" spans="1:11" x14ac:dyDescent="0.2">
      <c r="A356" s="472" t="s">
        <v>338</v>
      </c>
      <c r="B356" s="472" t="s">
        <v>345</v>
      </c>
      <c r="C356" s="473">
        <v>1871</v>
      </c>
      <c r="D356" s="474">
        <v>43200</v>
      </c>
      <c r="E356" s="475">
        <v>4166.6639999999998</v>
      </c>
      <c r="F356" s="476" t="s">
        <v>183</v>
      </c>
      <c r="G356" s="475" t="s">
        <v>185</v>
      </c>
      <c r="H356" s="475" t="s">
        <v>187</v>
      </c>
      <c r="J356" s="473">
        <v>18</v>
      </c>
      <c r="K356" s="475">
        <v>3531.0720000000001</v>
      </c>
    </row>
    <row r="357" spans="1:11" x14ac:dyDescent="0.2">
      <c r="A357" s="472" t="s">
        <v>338</v>
      </c>
      <c r="B357" s="472" t="s">
        <v>345</v>
      </c>
      <c r="C357" s="473">
        <v>1872</v>
      </c>
      <c r="D357" s="474">
        <v>43201</v>
      </c>
      <c r="E357" s="475">
        <v>7618.6620000000003</v>
      </c>
      <c r="F357" s="476" t="s">
        <v>183</v>
      </c>
      <c r="G357" s="475" t="s">
        <v>185</v>
      </c>
      <c r="H357" s="475" t="s">
        <v>187</v>
      </c>
      <c r="J357" s="473">
        <v>5</v>
      </c>
      <c r="K357" s="475">
        <v>3162.6280000000002</v>
      </c>
    </row>
    <row r="358" spans="1:11" x14ac:dyDescent="0.2">
      <c r="A358" s="472" t="s">
        <v>338</v>
      </c>
      <c r="B358" s="472" t="s">
        <v>345</v>
      </c>
      <c r="C358" s="473">
        <v>1872</v>
      </c>
      <c r="D358" s="474">
        <v>43201</v>
      </c>
      <c r="E358" s="475">
        <v>7618.6620000000003</v>
      </c>
      <c r="F358" s="476" t="s">
        <v>183</v>
      </c>
      <c r="G358" s="475" t="s">
        <v>185</v>
      </c>
      <c r="H358" s="475" t="s">
        <v>187</v>
      </c>
      <c r="J358" s="473">
        <v>12</v>
      </c>
      <c r="K358" s="475">
        <v>1285.732</v>
      </c>
    </row>
    <row r="359" spans="1:11" x14ac:dyDescent="0.2">
      <c r="A359" s="472" t="s">
        <v>338</v>
      </c>
      <c r="B359" s="472" t="s">
        <v>345</v>
      </c>
      <c r="C359" s="473">
        <v>1872</v>
      </c>
      <c r="D359" s="474">
        <v>43201</v>
      </c>
      <c r="E359" s="475">
        <v>7618.6620000000003</v>
      </c>
      <c r="F359" s="476" t="s">
        <v>183</v>
      </c>
      <c r="G359" s="475" t="s">
        <v>185</v>
      </c>
      <c r="H359" s="475" t="s">
        <v>187</v>
      </c>
      <c r="J359" s="473">
        <v>18</v>
      </c>
      <c r="K359" s="475">
        <v>2421.9340000000002</v>
      </c>
    </row>
    <row r="360" spans="1:11" x14ac:dyDescent="0.2">
      <c r="A360" s="472" t="s">
        <v>338</v>
      </c>
      <c r="B360" s="472" t="s">
        <v>345</v>
      </c>
      <c r="C360" s="473">
        <v>1873</v>
      </c>
      <c r="D360" s="474">
        <v>43202</v>
      </c>
      <c r="E360" s="475">
        <v>9730.5669999999991</v>
      </c>
      <c r="F360" s="476" t="s">
        <v>183</v>
      </c>
      <c r="G360" s="475" t="s">
        <v>185</v>
      </c>
      <c r="H360" s="475" t="s">
        <v>187</v>
      </c>
      <c r="J360" s="473">
        <v>5</v>
      </c>
      <c r="K360" s="475">
        <v>4987.2070000000003</v>
      </c>
    </row>
    <row r="361" spans="1:11" x14ac:dyDescent="0.2">
      <c r="A361" s="472" t="s">
        <v>338</v>
      </c>
      <c r="B361" s="472" t="s">
        <v>345</v>
      </c>
      <c r="C361" s="473">
        <v>1873</v>
      </c>
      <c r="D361" s="474">
        <v>43202</v>
      </c>
      <c r="E361" s="475">
        <v>9730.5669999999991</v>
      </c>
      <c r="F361" s="476" t="s">
        <v>183</v>
      </c>
      <c r="G361" s="475" t="s">
        <v>185</v>
      </c>
      <c r="H361" s="475" t="s">
        <v>187</v>
      </c>
      <c r="J361" s="473">
        <v>18</v>
      </c>
      <c r="K361" s="475">
        <v>3808.4740000000002</v>
      </c>
    </row>
    <row r="362" spans="1:11" x14ac:dyDescent="0.2">
      <c r="A362" s="472" t="s">
        <v>338</v>
      </c>
      <c r="B362" s="472" t="s">
        <v>345</v>
      </c>
      <c r="C362" s="473">
        <v>1874</v>
      </c>
      <c r="D362" s="474">
        <v>43202</v>
      </c>
      <c r="E362" s="475">
        <v>9601.1959999999999</v>
      </c>
      <c r="F362" s="476" t="s">
        <v>183</v>
      </c>
      <c r="G362" s="475" t="s">
        <v>185</v>
      </c>
      <c r="H362" s="475" t="s">
        <v>187</v>
      </c>
      <c r="J362" s="473">
        <v>18</v>
      </c>
      <c r="K362" s="475">
        <v>8136.6059999999998</v>
      </c>
    </row>
    <row r="363" spans="1:11" x14ac:dyDescent="0.2">
      <c r="A363" s="472" t="s">
        <v>338</v>
      </c>
      <c r="B363" s="472" t="s">
        <v>345</v>
      </c>
      <c r="C363" s="473">
        <v>1875</v>
      </c>
      <c r="D363" s="474">
        <v>43202</v>
      </c>
      <c r="E363" s="475">
        <v>4850.58</v>
      </c>
      <c r="F363" s="476" t="s">
        <v>183</v>
      </c>
      <c r="G363" s="475" t="s">
        <v>185</v>
      </c>
      <c r="H363" s="475" t="s">
        <v>187</v>
      </c>
      <c r="J363" s="473">
        <v>5</v>
      </c>
      <c r="K363" s="475">
        <v>2815.6</v>
      </c>
    </row>
    <row r="364" spans="1:11" x14ac:dyDescent="0.2">
      <c r="A364" s="472" t="s">
        <v>338</v>
      </c>
      <c r="B364" s="472" t="s">
        <v>345</v>
      </c>
      <c r="C364" s="473">
        <v>1875</v>
      </c>
      <c r="D364" s="474">
        <v>43202</v>
      </c>
      <c r="E364" s="475">
        <v>4850.58</v>
      </c>
      <c r="F364" s="476" t="s">
        <v>183</v>
      </c>
      <c r="G364" s="475" t="s">
        <v>185</v>
      </c>
      <c r="H364" s="475" t="s">
        <v>187</v>
      </c>
      <c r="J364" s="473">
        <v>12</v>
      </c>
      <c r="K364" s="475">
        <v>351.428</v>
      </c>
    </row>
    <row r="365" spans="1:11" x14ac:dyDescent="0.2">
      <c r="A365" s="472" t="s">
        <v>338</v>
      </c>
      <c r="B365" s="472" t="s">
        <v>345</v>
      </c>
      <c r="C365" s="473">
        <v>1875</v>
      </c>
      <c r="D365" s="474">
        <v>43202</v>
      </c>
      <c r="E365" s="475">
        <v>4850.58</v>
      </c>
      <c r="F365" s="476" t="s">
        <v>183</v>
      </c>
      <c r="G365" s="475" t="s">
        <v>185</v>
      </c>
      <c r="H365" s="475" t="s">
        <v>187</v>
      </c>
      <c r="J365" s="473">
        <v>18</v>
      </c>
      <c r="K365" s="475">
        <v>1271.694</v>
      </c>
    </row>
    <row r="366" spans="1:11" x14ac:dyDescent="0.2">
      <c r="A366" s="472" t="s">
        <v>338</v>
      </c>
      <c r="B366" s="472" t="s">
        <v>345</v>
      </c>
      <c r="C366" s="473">
        <v>1876</v>
      </c>
      <c r="D366" s="474">
        <v>43203</v>
      </c>
      <c r="E366" s="475">
        <v>4913.47</v>
      </c>
      <c r="F366" s="476" t="s">
        <v>183</v>
      </c>
      <c r="G366" s="475" t="s">
        <v>185</v>
      </c>
      <c r="H366" s="475" t="s">
        <v>187</v>
      </c>
      <c r="J366" s="473">
        <v>12</v>
      </c>
      <c r="K366" s="475">
        <v>3315.596</v>
      </c>
    </row>
    <row r="367" spans="1:11" x14ac:dyDescent="0.2">
      <c r="A367" s="472" t="s">
        <v>338</v>
      </c>
      <c r="B367" s="472" t="s">
        <v>345</v>
      </c>
      <c r="C367" s="473">
        <v>1876</v>
      </c>
      <c r="D367" s="474">
        <v>43203</v>
      </c>
      <c r="E367" s="475">
        <v>4913.47</v>
      </c>
      <c r="F367" s="476" t="s">
        <v>183</v>
      </c>
      <c r="G367" s="475" t="s">
        <v>185</v>
      </c>
      <c r="H367" s="475" t="s">
        <v>187</v>
      </c>
      <c r="J367" s="473">
        <v>18</v>
      </c>
      <c r="K367" s="475">
        <v>1016.95</v>
      </c>
    </row>
    <row r="368" spans="1:11" x14ac:dyDescent="0.2">
      <c r="A368" s="472" t="s">
        <v>338</v>
      </c>
      <c r="B368" s="472" t="s">
        <v>345</v>
      </c>
      <c r="C368" s="473">
        <v>1877</v>
      </c>
      <c r="D368" s="474">
        <v>43203</v>
      </c>
      <c r="E368" s="475">
        <v>10714.050999999999</v>
      </c>
      <c r="F368" s="476" t="s">
        <v>183</v>
      </c>
      <c r="G368" s="475" t="s">
        <v>185</v>
      </c>
      <c r="H368" s="475" t="s">
        <v>187</v>
      </c>
      <c r="J368" s="473">
        <v>5</v>
      </c>
      <c r="K368" s="475">
        <v>2226.8200000000002</v>
      </c>
    </row>
    <row r="369" spans="1:11" x14ac:dyDescent="0.2">
      <c r="A369" s="472" t="s">
        <v>338</v>
      </c>
      <c r="B369" s="472" t="s">
        <v>345</v>
      </c>
      <c r="C369" s="473">
        <v>1877</v>
      </c>
      <c r="D369" s="474">
        <v>43203</v>
      </c>
      <c r="E369" s="475">
        <v>10714.050999999999</v>
      </c>
      <c r="F369" s="476" t="s">
        <v>183</v>
      </c>
      <c r="G369" s="475" t="s">
        <v>185</v>
      </c>
      <c r="H369" s="475" t="s">
        <v>187</v>
      </c>
      <c r="J369" s="473">
        <v>12</v>
      </c>
      <c r="K369" s="475">
        <v>6555.9740000000002</v>
      </c>
    </row>
    <row r="370" spans="1:11" x14ac:dyDescent="0.2">
      <c r="A370" s="472" t="s">
        <v>338</v>
      </c>
      <c r="B370" s="472" t="s">
        <v>345</v>
      </c>
      <c r="C370" s="473">
        <v>1877</v>
      </c>
      <c r="D370" s="474">
        <v>43203</v>
      </c>
      <c r="E370" s="475">
        <v>10714.050999999999</v>
      </c>
      <c r="F370" s="476" t="s">
        <v>183</v>
      </c>
      <c r="G370" s="475" t="s">
        <v>185</v>
      </c>
      <c r="H370" s="475" t="s">
        <v>187</v>
      </c>
      <c r="J370" s="473">
        <v>18</v>
      </c>
      <c r="K370" s="475">
        <v>875.59299999999996</v>
      </c>
    </row>
    <row r="371" spans="1:11" x14ac:dyDescent="0.2">
      <c r="A371" s="472" t="s">
        <v>338</v>
      </c>
      <c r="B371" s="472" t="s">
        <v>345</v>
      </c>
      <c r="C371" s="473">
        <v>1878</v>
      </c>
      <c r="D371" s="474">
        <v>43203</v>
      </c>
      <c r="E371" s="475">
        <v>2492.8000000000002</v>
      </c>
      <c r="F371" s="476" t="s">
        <v>183</v>
      </c>
      <c r="G371" s="475" t="s">
        <v>185</v>
      </c>
      <c r="H371" s="475" t="s">
        <v>187</v>
      </c>
      <c r="J371" s="473">
        <v>5</v>
      </c>
      <c r="K371" s="475">
        <v>1390.095</v>
      </c>
    </row>
    <row r="372" spans="1:11" x14ac:dyDescent="0.2">
      <c r="A372" s="472" t="s">
        <v>338</v>
      </c>
      <c r="B372" s="472" t="s">
        <v>345</v>
      </c>
      <c r="C372" s="473">
        <v>1878</v>
      </c>
      <c r="D372" s="474">
        <v>43203</v>
      </c>
      <c r="E372" s="475">
        <v>2492.8000000000002</v>
      </c>
      <c r="F372" s="476" t="s">
        <v>183</v>
      </c>
      <c r="G372" s="475" t="s">
        <v>185</v>
      </c>
      <c r="H372" s="475" t="s">
        <v>187</v>
      </c>
      <c r="J372" s="473">
        <v>18</v>
      </c>
      <c r="K372" s="475">
        <v>875.59299999999996</v>
      </c>
    </row>
    <row r="373" spans="1:11" x14ac:dyDescent="0.2">
      <c r="A373" s="472" t="s">
        <v>338</v>
      </c>
      <c r="B373" s="472" t="s">
        <v>345</v>
      </c>
      <c r="C373" s="473">
        <v>1879</v>
      </c>
      <c r="D373" s="474">
        <v>43203</v>
      </c>
      <c r="E373" s="475">
        <v>7487.3649999999998</v>
      </c>
      <c r="F373" s="476" t="s">
        <v>183</v>
      </c>
      <c r="G373" s="475" t="s">
        <v>185</v>
      </c>
      <c r="H373" s="475" t="s">
        <v>187</v>
      </c>
      <c r="J373" s="473">
        <v>5</v>
      </c>
      <c r="K373" s="475">
        <v>3808.922</v>
      </c>
    </row>
    <row r="374" spans="1:11" x14ac:dyDescent="0.2">
      <c r="A374" s="472" t="s">
        <v>338</v>
      </c>
      <c r="B374" s="472" t="s">
        <v>345</v>
      </c>
      <c r="C374" s="473">
        <v>1879</v>
      </c>
      <c r="D374" s="474">
        <v>43203</v>
      </c>
      <c r="E374" s="475">
        <v>7487.3649999999998</v>
      </c>
      <c r="F374" s="476" t="s">
        <v>183</v>
      </c>
      <c r="G374" s="475" t="s">
        <v>185</v>
      </c>
      <c r="H374" s="475" t="s">
        <v>187</v>
      </c>
      <c r="J374" s="473">
        <v>12</v>
      </c>
      <c r="K374" s="475">
        <v>658.92700000000002</v>
      </c>
    </row>
    <row r="375" spans="1:11" x14ac:dyDescent="0.2">
      <c r="A375" s="472" t="s">
        <v>338</v>
      </c>
      <c r="B375" s="472" t="s">
        <v>345</v>
      </c>
      <c r="C375" s="473">
        <v>1879</v>
      </c>
      <c r="D375" s="474">
        <v>43203</v>
      </c>
      <c r="E375" s="475">
        <v>7487.3649999999998</v>
      </c>
      <c r="F375" s="476" t="s">
        <v>183</v>
      </c>
      <c r="G375" s="475" t="s">
        <v>185</v>
      </c>
      <c r="H375" s="475" t="s">
        <v>187</v>
      </c>
      <c r="J375" s="473">
        <v>18</v>
      </c>
      <c r="K375" s="475">
        <v>2330.5079999999998</v>
      </c>
    </row>
    <row r="376" spans="1:11" x14ac:dyDescent="0.2">
      <c r="A376" s="472" t="s">
        <v>338</v>
      </c>
      <c r="B376" s="472" t="s">
        <v>345</v>
      </c>
      <c r="C376" s="473">
        <v>1880</v>
      </c>
      <c r="D376" s="474">
        <v>43206</v>
      </c>
      <c r="E376" s="475">
        <v>16267.441999999999</v>
      </c>
      <c r="F376" s="476" t="s">
        <v>183</v>
      </c>
      <c r="G376" s="475" t="s">
        <v>185</v>
      </c>
      <c r="H376" s="475" t="s">
        <v>187</v>
      </c>
      <c r="J376" s="473">
        <v>18</v>
      </c>
      <c r="K376" s="475">
        <v>13785.968000000001</v>
      </c>
    </row>
    <row r="377" spans="1:11" x14ac:dyDescent="0.2">
      <c r="A377" s="472" t="s">
        <v>338</v>
      </c>
      <c r="B377" s="472" t="s">
        <v>345</v>
      </c>
      <c r="C377" s="473">
        <v>1881</v>
      </c>
      <c r="D377" s="474">
        <v>43207</v>
      </c>
      <c r="E377" s="475">
        <v>13705.441000000001</v>
      </c>
      <c r="F377" s="476" t="s">
        <v>183</v>
      </c>
      <c r="G377" s="475" t="s">
        <v>185</v>
      </c>
      <c r="H377" s="475" t="s">
        <v>187</v>
      </c>
      <c r="J377" s="473">
        <v>18</v>
      </c>
      <c r="K377" s="475">
        <v>11614.779</v>
      </c>
    </row>
    <row r="378" spans="1:11" x14ac:dyDescent="0.2">
      <c r="A378" s="472" t="s">
        <v>338</v>
      </c>
      <c r="B378" s="472" t="s">
        <v>345</v>
      </c>
      <c r="C378" s="473">
        <v>1882</v>
      </c>
      <c r="D378" s="474">
        <v>43208</v>
      </c>
      <c r="E378" s="475">
        <v>13943.996999999999</v>
      </c>
      <c r="F378" s="476" t="s">
        <v>183</v>
      </c>
      <c r="G378" s="475" t="s">
        <v>185</v>
      </c>
      <c r="H378" s="475" t="s">
        <v>187</v>
      </c>
      <c r="J378" s="473">
        <v>18</v>
      </c>
      <c r="K378" s="475">
        <v>11816.945</v>
      </c>
    </row>
    <row r="379" spans="1:11" x14ac:dyDescent="0.2">
      <c r="A379" s="472" t="s">
        <v>338</v>
      </c>
      <c r="B379" s="472" t="s">
        <v>345</v>
      </c>
      <c r="C379" s="473">
        <v>1883</v>
      </c>
      <c r="D379" s="474">
        <v>43208</v>
      </c>
      <c r="E379" s="475">
        <v>12393.357</v>
      </c>
      <c r="F379" s="476" t="s">
        <v>183</v>
      </c>
      <c r="G379" s="475" t="s">
        <v>185</v>
      </c>
      <c r="H379" s="475" t="s">
        <v>187</v>
      </c>
      <c r="J379" s="473">
        <v>12</v>
      </c>
      <c r="K379" s="475">
        <v>1999.57</v>
      </c>
    </row>
    <row r="380" spans="1:11" x14ac:dyDescent="0.2">
      <c r="A380" s="472" t="s">
        <v>338</v>
      </c>
      <c r="B380" s="472" t="s">
        <v>345</v>
      </c>
      <c r="C380" s="473">
        <v>1883</v>
      </c>
      <c r="D380" s="474">
        <v>43208</v>
      </c>
      <c r="E380" s="475">
        <v>12393.357</v>
      </c>
      <c r="F380" s="476" t="s">
        <v>183</v>
      </c>
      <c r="G380" s="475" t="s">
        <v>185</v>
      </c>
      <c r="H380" s="475" t="s">
        <v>187</v>
      </c>
      <c r="J380" s="473">
        <v>18</v>
      </c>
      <c r="K380" s="475">
        <v>8604.9470000000001</v>
      </c>
    </row>
    <row r="381" spans="1:11" x14ac:dyDescent="0.2">
      <c r="A381" s="472" t="s">
        <v>338</v>
      </c>
      <c r="B381" s="472" t="s">
        <v>345</v>
      </c>
      <c r="C381" s="473">
        <v>1884</v>
      </c>
      <c r="D381" s="474">
        <v>43211</v>
      </c>
      <c r="E381" s="475">
        <v>11558.4</v>
      </c>
      <c r="F381" s="476" t="s">
        <v>183</v>
      </c>
      <c r="G381" s="475" t="s">
        <v>185</v>
      </c>
      <c r="H381" s="475" t="s">
        <v>187</v>
      </c>
      <c r="J381" s="473">
        <v>18</v>
      </c>
      <c r="K381" s="475">
        <v>9795.2540000000008</v>
      </c>
    </row>
    <row r="382" spans="1:11" x14ac:dyDescent="0.2">
      <c r="A382" s="472" t="s">
        <v>338</v>
      </c>
      <c r="B382" s="472" t="s">
        <v>345</v>
      </c>
      <c r="C382" s="473">
        <v>1885</v>
      </c>
      <c r="D382" s="474">
        <v>43211</v>
      </c>
      <c r="E382" s="475">
        <v>10223.096</v>
      </c>
      <c r="F382" s="476" t="s">
        <v>183</v>
      </c>
      <c r="G382" s="475" t="s">
        <v>185</v>
      </c>
      <c r="H382" s="475" t="s">
        <v>187</v>
      </c>
      <c r="J382" s="473">
        <v>12</v>
      </c>
      <c r="K382" s="475">
        <v>8204.1180000000004</v>
      </c>
    </row>
    <row r="383" spans="1:11" x14ac:dyDescent="0.2">
      <c r="A383" s="472" t="s">
        <v>338</v>
      </c>
      <c r="B383" s="472" t="s">
        <v>345</v>
      </c>
      <c r="C383" s="473">
        <v>1885</v>
      </c>
      <c r="D383" s="474">
        <v>43211</v>
      </c>
      <c r="E383" s="475">
        <v>10223.096</v>
      </c>
      <c r="F383" s="476" t="s">
        <v>183</v>
      </c>
      <c r="G383" s="475" t="s">
        <v>185</v>
      </c>
      <c r="H383" s="475" t="s">
        <v>187</v>
      </c>
      <c r="J383" s="473">
        <v>18</v>
      </c>
      <c r="K383" s="475">
        <v>876.68</v>
      </c>
    </row>
    <row r="384" spans="1:11" x14ac:dyDescent="0.2">
      <c r="A384" s="472" t="s">
        <v>338</v>
      </c>
      <c r="B384" s="472" t="s">
        <v>345</v>
      </c>
      <c r="C384" s="473">
        <v>1886</v>
      </c>
      <c r="D384" s="474">
        <v>43211</v>
      </c>
      <c r="E384" s="475">
        <v>12685.842000000001</v>
      </c>
      <c r="F384" s="476" t="s">
        <v>183</v>
      </c>
      <c r="G384" s="475" t="s">
        <v>185</v>
      </c>
      <c r="H384" s="475" t="s">
        <v>187</v>
      </c>
      <c r="J384" s="473">
        <v>5</v>
      </c>
      <c r="K384" s="475">
        <v>1666.5530000000001</v>
      </c>
    </row>
    <row r="385" spans="1:11" x14ac:dyDescent="0.2">
      <c r="A385" s="472" t="s">
        <v>338</v>
      </c>
      <c r="B385" s="472" t="s">
        <v>345</v>
      </c>
      <c r="C385" s="473">
        <v>1886</v>
      </c>
      <c r="D385" s="474">
        <v>43211</v>
      </c>
      <c r="E385" s="475">
        <v>12685.842000000001</v>
      </c>
      <c r="F385" s="476" t="s">
        <v>183</v>
      </c>
      <c r="G385" s="475" t="s">
        <v>185</v>
      </c>
      <c r="H385" s="475" t="s">
        <v>187</v>
      </c>
      <c r="J385" s="473">
        <v>18</v>
      </c>
      <c r="K385" s="475">
        <v>9267.7630000000008</v>
      </c>
    </row>
    <row r="386" spans="1:11" x14ac:dyDescent="0.2">
      <c r="A386" s="472" t="s">
        <v>338</v>
      </c>
      <c r="B386" s="472" t="s">
        <v>345</v>
      </c>
      <c r="C386" s="473">
        <v>1887</v>
      </c>
      <c r="D386" s="474">
        <v>43211</v>
      </c>
      <c r="E386" s="475">
        <v>5075.2809999999999</v>
      </c>
      <c r="F386" s="476" t="s">
        <v>183</v>
      </c>
      <c r="G386" s="475" t="s">
        <v>185</v>
      </c>
      <c r="H386" s="475" t="s">
        <v>187</v>
      </c>
      <c r="J386" s="473">
        <v>18</v>
      </c>
      <c r="K386" s="475">
        <v>4301.085</v>
      </c>
    </row>
    <row r="387" spans="1:11" x14ac:dyDescent="0.2">
      <c r="A387" s="472" t="s">
        <v>338</v>
      </c>
      <c r="B387" s="472" t="s">
        <v>345</v>
      </c>
      <c r="C387" s="473">
        <v>1888</v>
      </c>
      <c r="D387" s="474">
        <v>43213</v>
      </c>
      <c r="E387" s="475">
        <v>9095.52</v>
      </c>
      <c r="F387" s="476" t="s">
        <v>183</v>
      </c>
      <c r="G387" s="475" t="s">
        <v>185</v>
      </c>
      <c r="H387" s="475" t="s">
        <v>187</v>
      </c>
      <c r="J387" s="473">
        <v>18</v>
      </c>
      <c r="K387" s="475">
        <v>7708.0680000000002</v>
      </c>
    </row>
    <row r="388" spans="1:11" x14ac:dyDescent="0.2">
      <c r="A388" s="472" t="s">
        <v>338</v>
      </c>
      <c r="B388" s="472" t="s">
        <v>345</v>
      </c>
      <c r="C388" s="473">
        <v>1889</v>
      </c>
      <c r="D388" s="474">
        <v>43213</v>
      </c>
      <c r="E388" s="475">
        <v>6541.92</v>
      </c>
      <c r="F388" s="476" t="s">
        <v>183</v>
      </c>
      <c r="G388" s="475" t="s">
        <v>185</v>
      </c>
      <c r="H388" s="475" t="s">
        <v>187</v>
      </c>
      <c r="J388" s="473">
        <v>18</v>
      </c>
      <c r="K388" s="475">
        <v>5544</v>
      </c>
    </row>
    <row r="389" spans="1:11" x14ac:dyDescent="0.2">
      <c r="A389" s="472" t="s">
        <v>338</v>
      </c>
      <c r="B389" s="472" t="s">
        <v>345</v>
      </c>
      <c r="C389" s="473">
        <v>1890</v>
      </c>
      <c r="D389" s="474">
        <v>43213</v>
      </c>
      <c r="E389" s="475">
        <v>10389.183999999999</v>
      </c>
      <c r="F389" s="476" t="s">
        <v>183</v>
      </c>
      <c r="G389" s="475" t="s">
        <v>185</v>
      </c>
      <c r="H389" s="475" t="s">
        <v>187</v>
      </c>
      <c r="J389" s="473">
        <v>12</v>
      </c>
      <c r="K389" s="475">
        <v>6345.6540000000005</v>
      </c>
    </row>
    <row r="390" spans="1:11" x14ac:dyDescent="0.2">
      <c r="A390" s="472" t="s">
        <v>338</v>
      </c>
      <c r="B390" s="472" t="s">
        <v>345</v>
      </c>
      <c r="C390" s="473">
        <v>1890</v>
      </c>
      <c r="D390" s="474">
        <v>43213</v>
      </c>
      <c r="E390" s="475">
        <v>10389.183999999999</v>
      </c>
      <c r="F390" s="476" t="s">
        <v>183</v>
      </c>
      <c r="G390" s="475" t="s">
        <v>185</v>
      </c>
      <c r="H390" s="475" t="s">
        <v>187</v>
      </c>
      <c r="J390" s="473">
        <v>18</v>
      </c>
      <c r="K390" s="475">
        <v>2781.3980000000001</v>
      </c>
    </row>
    <row r="391" spans="1:11" x14ac:dyDescent="0.2">
      <c r="A391" s="472" t="s">
        <v>339</v>
      </c>
      <c r="B391" s="472" t="s">
        <v>346</v>
      </c>
      <c r="C391" s="473">
        <v>1891</v>
      </c>
      <c r="D391" s="474">
        <v>43214</v>
      </c>
      <c r="E391" s="475">
        <v>1669.5650000000001</v>
      </c>
      <c r="F391" s="476" t="s">
        <v>183</v>
      </c>
      <c r="G391" s="475" t="s">
        <v>185</v>
      </c>
      <c r="H391" s="475" t="s">
        <v>187</v>
      </c>
      <c r="J391" s="473">
        <v>12</v>
      </c>
      <c r="K391" s="475">
        <v>1490.683</v>
      </c>
    </row>
    <row r="392" spans="1:11" x14ac:dyDescent="0.2">
      <c r="A392" s="472" t="s">
        <v>344</v>
      </c>
      <c r="B392" s="472" t="s">
        <v>352</v>
      </c>
      <c r="C392" s="473">
        <v>1892</v>
      </c>
      <c r="D392" s="474">
        <v>43214</v>
      </c>
      <c r="E392" s="475">
        <v>1669.5650000000001</v>
      </c>
      <c r="F392" s="476" t="s">
        <v>183</v>
      </c>
      <c r="G392" s="475" t="s">
        <v>185</v>
      </c>
      <c r="H392" s="475" t="s">
        <v>187</v>
      </c>
      <c r="J392" s="473">
        <v>12</v>
      </c>
      <c r="K392" s="475">
        <v>1490.683</v>
      </c>
    </row>
    <row r="393" spans="1:11" x14ac:dyDescent="0.2">
      <c r="A393" s="472" t="s">
        <v>338</v>
      </c>
      <c r="B393" s="472" t="s">
        <v>345</v>
      </c>
      <c r="C393" s="473">
        <v>1893</v>
      </c>
      <c r="D393" s="474">
        <v>43216</v>
      </c>
      <c r="E393" s="475">
        <v>4016.8809999999999</v>
      </c>
      <c r="F393" s="476" t="s">
        <v>183</v>
      </c>
      <c r="G393" s="475" t="s">
        <v>185</v>
      </c>
      <c r="H393" s="475" t="s">
        <v>187</v>
      </c>
      <c r="J393" s="473">
        <v>18</v>
      </c>
      <c r="K393" s="475">
        <v>3404.1350000000002</v>
      </c>
    </row>
    <row r="394" spans="1:11" x14ac:dyDescent="0.2">
      <c r="A394" s="472" t="s">
        <v>338</v>
      </c>
      <c r="B394" s="472" t="s">
        <v>345</v>
      </c>
      <c r="C394" s="473">
        <v>1894</v>
      </c>
      <c r="D394" s="474">
        <v>43216</v>
      </c>
      <c r="E394" s="475">
        <v>20470.280999999999</v>
      </c>
      <c r="F394" s="476" t="s">
        <v>183</v>
      </c>
      <c r="G394" s="475" t="s">
        <v>185</v>
      </c>
      <c r="H394" s="475" t="s">
        <v>187</v>
      </c>
      <c r="J394" s="473">
        <v>12</v>
      </c>
      <c r="K394" s="475">
        <v>1999.57</v>
      </c>
    </row>
    <row r="395" spans="1:11" x14ac:dyDescent="0.2">
      <c r="A395" s="472" t="s">
        <v>338</v>
      </c>
      <c r="B395" s="472" t="s">
        <v>345</v>
      </c>
      <c r="C395" s="473">
        <v>1894</v>
      </c>
      <c r="D395" s="474">
        <v>43216</v>
      </c>
      <c r="E395" s="475">
        <v>20470.280999999999</v>
      </c>
      <c r="F395" s="476" t="s">
        <v>183</v>
      </c>
      <c r="G395" s="475" t="s">
        <v>185</v>
      </c>
      <c r="H395" s="475" t="s">
        <v>187</v>
      </c>
      <c r="J395" s="473">
        <v>18</v>
      </c>
      <c r="K395" s="475">
        <v>15449.799000000001</v>
      </c>
    </row>
    <row r="396" spans="1:11" x14ac:dyDescent="0.2">
      <c r="A396" s="472" t="s">
        <v>338</v>
      </c>
      <c r="B396" s="472" t="s">
        <v>345</v>
      </c>
      <c r="C396" s="473">
        <v>1895</v>
      </c>
      <c r="D396" s="474">
        <v>43217</v>
      </c>
      <c r="E396" s="475">
        <v>9987.6020000000008</v>
      </c>
      <c r="F396" s="476" t="s">
        <v>183</v>
      </c>
      <c r="G396" s="475" t="s">
        <v>185</v>
      </c>
      <c r="H396" s="475" t="s">
        <v>187</v>
      </c>
      <c r="J396" s="473">
        <v>18</v>
      </c>
      <c r="K396" s="475">
        <v>8464.0679999999993</v>
      </c>
    </row>
    <row r="397" spans="1:11" x14ac:dyDescent="0.2">
      <c r="A397" s="472" t="s">
        <v>338</v>
      </c>
      <c r="B397" s="472" t="s">
        <v>345</v>
      </c>
      <c r="C397" s="473">
        <v>1896</v>
      </c>
      <c r="D397" s="474">
        <v>43217</v>
      </c>
      <c r="E397" s="475">
        <v>8152.0240000000003</v>
      </c>
      <c r="F397" s="476" t="s">
        <v>183</v>
      </c>
      <c r="G397" s="475" t="s">
        <v>185</v>
      </c>
      <c r="H397" s="475" t="s">
        <v>187</v>
      </c>
      <c r="J397" s="473">
        <v>12</v>
      </c>
      <c r="K397" s="475">
        <v>547.82799999999997</v>
      </c>
    </row>
    <row r="398" spans="1:11" x14ac:dyDescent="0.2">
      <c r="A398" s="472" t="s">
        <v>338</v>
      </c>
      <c r="B398" s="472" t="s">
        <v>345</v>
      </c>
      <c r="C398" s="473">
        <v>1896</v>
      </c>
      <c r="D398" s="474">
        <v>43217</v>
      </c>
      <c r="E398" s="475">
        <v>8152.0240000000003</v>
      </c>
      <c r="F398" s="476" t="s">
        <v>183</v>
      </c>
      <c r="G398" s="475" t="s">
        <v>185</v>
      </c>
      <c r="H398" s="475" t="s">
        <v>187</v>
      </c>
      <c r="J398" s="473">
        <v>18</v>
      </c>
      <c r="K398" s="475">
        <v>6388.5219999999999</v>
      </c>
    </row>
    <row r="399" spans="1:11" x14ac:dyDescent="0.2">
      <c r="A399" s="472" t="s">
        <v>338</v>
      </c>
      <c r="B399" s="472" t="s">
        <v>345</v>
      </c>
      <c r="C399" s="473">
        <v>1897</v>
      </c>
      <c r="D399" s="474">
        <v>43218</v>
      </c>
      <c r="E399" s="475">
        <v>12463.921</v>
      </c>
      <c r="F399" s="476" t="s">
        <v>183</v>
      </c>
      <c r="G399" s="475" t="s">
        <v>185</v>
      </c>
      <c r="H399" s="475" t="s">
        <v>187</v>
      </c>
      <c r="J399" s="473">
        <v>18</v>
      </c>
      <c r="K399" s="475">
        <v>10562.645</v>
      </c>
    </row>
    <row r="400" spans="1:11" x14ac:dyDescent="0.2">
      <c r="A400" s="472" t="s">
        <v>338</v>
      </c>
      <c r="B400" s="472" t="s">
        <v>345</v>
      </c>
      <c r="C400" s="473">
        <v>1898</v>
      </c>
      <c r="D400" s="474">
        <v>43218</v>
      </c>
      <c r="E400" s="475">
        <v>9534.8189999999995</v>
      </c>
      <c r="F400" s="476" t="s">
        <v>183</v>
      </c>
      <c r="G400" s="475" t="s">
        <v>185</v>
      </c>
      <c r="H400" s="475" t="s">
        <v>187</v>
      </c>
      <c r="J400" s="473">
        <v>12</v>
      </c>
      <c r="K400" s="475">
        <v>1095.6559999999999</v>
      </c>
    </row>
    <row r="401" spans="1:11" x14ac:dyDescent="0.2">
      <c r="A401" s="472" t="s">
        <v>338</v>
      </c>
      <c r="B401" s="472" t="s">
        <v>345</v>
      </c>
      <c r="C401" s="473">
        <v>1898</v>
      </c>
      <c r="D401" s="474">
        <v>43218</v>
      </c>
      <c r="E401" s="475">
        <v>9534.8189999999995</v>
      </c>
      <c r="F401" s="476" t="s">
        <v>183</v>
      </c>
      <c r="G401" s="475" t="s">
        <v>185</v>
      </c>
      <c r="H401" s="475" t="s">
        <v>187</v>
      </c>
      <c r="J401" s="473">
        <v>18</v>
      </c>
      <c r="K401" s="475">
        <v>7040.4110000000001</v>
      </c>
    </row>
    <row r="402" spans="1:11" x14ac:dyDescent="0.2">
      <c r="A402" s="472" t="s">
        <v>338</v>
      </c>
      <c r="B402" s="472" t="s">
        <v>345</v>
      </c>
      <c r="C402" s="473">
        <v>1899</v>
      </c>
      <c r="D402" s="474">
        <v>43218</v>
      </c>
      <c r="E402" s="475">
        <v>9875.0419999999995</v>
      </c>
      <c r="F402" s="476" t="s">
        <v>183</v>
      </c>
      <c r="G402" s="475" t="s">
        <v>185</v>
      </c>
      <c r="H402" s="475" t="s">
        <v>187</v>
      </c>
      <c r="J402" s="473">
        <v>18</v>
      </c>
      <c r="K402" s="475">
        <v>8368.6779999999999</v>
      </c>
    </row>
    <row r="403" spans="1:11" x14ac:dyDescent="0.2">
      <c r="A403" s="472" t="s">
        <v>338</v>
      </c>
      <c r="B403" s="472" t="s">
        <v>345</v>
      </c>
      <c r="C403" s="473">
        <v>1900</v>
      </c>
      <c r="D403" s="474">
        <v>43218</v>
      </c>
      <c r="E403" s="475">
        <v>7990.9790000000003</v>
      </c>
      <c r="F403" s="476" t="s">
        <v>183</v>
      </c>
      <c r="G403" s="475" t="s">
        <v>185</v>
      </c>
      <c r="H403" s="475" t="s">
        <v>187</v>
      </c>
      <c r="J403" s="473">
        <v>12</v>
      </c>
      <c r="K403" s="475">
        <v>3838.105</v>
      </c>
    </row>
    <row r="404" spans="1:11" x14ac:dyDescent="0.2">
      <c r="A404" s="472" t="s">
        <v>338</v>
      </c>
      <c r="B404" s="472" t="s">
        <v>345</v>
      </c>
      <c r="C404" s="473">
        <v>1900</v>
      </c>
      <c r="D404" s="474">
        <v>43218</v>
      </c>
      <c r="E404" s="475">
        <v>7990.9790000000003</v>
      </c>
      <c r="F404" s="476" t="s">
        <v>183</v>
      </c>
      <c r="G404" s="475" t="s">
        <v>185</v>
      </c>
      <c r="H404" s="475" t="s">
        <v>187</v>
      </c>
      <c r="J404" s="473">
        <v>18</v>
      </c>
      <c r="K404" s="475">
        <v>3129.07</v>
      </c>
    </row>
    <row r="405" spans="1:11" x14ac:dyDescent="0.2">
      <c r="A405" s="472" t="s">
        <v>338</v>
      </c>
      <c r="B405" s="472" t="s">
        <v>345</v>
      </c>
      <c r="C405" s="473">
        <v>1901</v>
      </c>
      <c r="D405" s="474">
        <v>43218</v>
      </c>
      <c r="E405" s="475">
        <v>7397.4359999999997</v>
      </c>
      <c r="F405" s="476" t="s">
        <v>183</v>
      </c>
      <c r="G405" s="475" t="s">
        <v>185</v>
      </c>
      <c r="H405" s="475" t="s">
        <v>187</v>
      </c>
      <c r="J405" s="473">
        <v>18</v>
      </c>
      <c r="K405" s="475">
        <v>6269.0119999999997</v>
      </c>
    </row>
    <row r="406" spans="1:11" x14ac:dyDescent="0.2">
      <c r="A406" s="472" t="s">
        <v>338</v>
      </c>
      <c r="B406" s="472" t="s">
        <v>345</v>
      </c>
      <c r="C406" s="473">
        <v>1902</v>
      </c>
      <c r="D406" s="474">
        <v>43218</v>
      </c>
      <c r="E406" s="475">
        <v>6769.2219999999998</v>
      </c>
      <c r="F406" s="476" t="s">
        <v>183</v>
      </c>
      <c r="G406" s="475" t="s">
        <v>185</v>
      </c>
      <c r="H406" s="475" t="s">
        <v>187</v>
      </c>
      <c r="J406" s="473">
        <v>18</v>
      </c>
      <c r="K406" s="475">
        <v>5736.6279999999997</v>
      </c>
    </row>
    <row r="407" spans="1:11" x14ac:dyDescent="0.2">
      <c r="A407" s="472" t="s">
        <v>342</v>
      </c>
      <c r="B407" s="472" t="s">
        <v>349</v>
      </c>
      <c r="C407" s="473">
        <v>1903</v>
      </c>
      <c r="D407" s="474">
        <v>43218</v>
      </c>
      <c r="E407" s="475">
        <v>5008.6989999999996</v>
      </c>
      <c r="F407" s="476" t="s">
        <v>183</v>
      </c>
      <c r="G407" s="475" t="s">
        <v>185</v>
      </c>
      <c r="H407" s="475" t="s">
        <v>187</v>
      </c>
      <c r="J407" s="473">
        <v>18</v>
      </c>
      <c r="K407" s="475">
        <v>4244.6589999999997</v>
      </c>
    </row>
    <row r="408" spans="1:11" x14ac:dyDescent="0.2">
      <c r="A408" s="472" t="s">
        <v>338</v>
      </c>
      <c r="B408" s="472" t="s">
        <v>345</v>
      </c>
      <c r="C408" s="473">
        <v>1904</v>
      </c>
      <c r="D408" s="474">
        <v>43218</v>
      </c>
      <c r="E408" s="475">
        <v>1227.136</v>
      </c>
      <c r="F408" s="476" t="s">
        <v>183</v>
      </c>
      <c r="G408" s="475" t="s">
        <v>185</v>
      </c>
      <c r="H408" s="475" t="s">
        <v>187</v>
      </c>
      <c r="J408" s="473">
        <v>12</v>
      </c>
      <c r="K408" s="475">
        <v>1095.6559999999999</v>
      </c>
    </row>
    <row r="409" spans="1:11" x14ac:dyDescent="0.2">
      <c r="A409" s="472" t="s">
        <v>338</v>
      </c>
      <c r="B409" s="472" t="s">
        <v>345</v>
      </c>
      <c r="C409" s="473">
        <v>1905</v>
      </c>
      <c r="D409" s="474">
        <v>43220</v>
      </c>
      <c r="E409" s="475">
        <v>5197.2439999999997</v>
      </c>
      <c r="F409" s="476" t="s">
        <v>183</v>
      </c>
      <c r="G409" s="475" t="s">
        <v>185</v>
      </c>
      <c r="H409" s="475" t="s">
        <v>187</v>
      </c>
      <c r="J409" s="473">
        <v>18</v>
      </c>
      <c r="K409" s="475">
        <v>4404.4440000000004</v>
      </c>
    </row>
    <row r="410" spans="1:11" x14ac:dyDescent="0.2">
      <c r="A410" s="472" t="s">
        <v>338</v>
      </c>
      <c r="B410" s="472" t="s">
        <v>345</v>
      </c>
      <c r="C410" s="473">
        <v>1906</v>
      </c>
      <c r="D410" s="474">
        <v>43223</v>
      </c>
      <c r="E410" s="475">
        <v>14525.281999999999</v>
      </c>
      <c r="F410" s="476" t="s">
        <v>183</v>
      </c>
      <c r="G410" s="475" t="s">
        <v>185</v>
      </c>
      <c r="H410" s="475" t="s">
        <v>187</v>
      </c>
      <c r="J410" s="473">
        <v>18</v>
      </c>
      <c r="K410" s="475">
        <v>12309.56</v>
      </c>
    </row>
    <row r="411" spans="1:11" x14ac:dyDescent="0.2">
      <c r="A411" s="472" t="s">
        <v>338</v>
      </c>
      <c r="B411" s="472" t="s">
        <v>345</v>
      </c>
      <c r="C411" s="473">
        <v>1907</v>
      </c>
      <c r="D411" s="474">
        <v>43223</v>
      </c>
      <c r="E411" s="475">
        <v>5096.8770000000004</v>
      </c>
      <c r="F411" s="476" t="s">
        <v>183</v>
      </c>
      <c r="G411" s="475" t="s">
        <v>185</v>
      </c>
      <c r="H411" s="475" t="s">
        <v>187</v>
      </c>
      <c r="J411" s="473">
        <v>12</v>
      </c>
      <c r="K411" s="475">
        <v>3818.181</v>
      </c>
    </row>
    <row r="412" spans="1:11" x14ac:dyDescent="0.2">
      <c r="A412" s="472" t="s">
        <v>338</v>
      </c>
      <c r="B412" s="472" t="s">
        <v>345</v>
      </c>
      <c r="C412" s="473">
        <v>1907</v>
      </c>
      <c r="D412" s="474">
        <v>43223</v>
      </c>
      <c r="E412" s="475">
        <v>5096.8770000000004</v>
      </c>
      <c r="F412" s="476" t="s">
        <v>183</v>
      </c>
      <c r="G412" s="475" t="s">
        <v>185</v>
      </c>
      <c r="H412" s="475" t="s">
        <v>187</v>
      </c>
      <c r="J412" s="473">
        <v>18</v>
      </c>
      <c r="K412" s="475">
        <v>695.35</v>
      </c>
    </row>
    <row r="413" spans="1:11" x14ac:dyDescent="0.2">
      <c r="A413" s="472" t="s">
        <v>338</v>
      </c>
      <c r="B413" s="472" t="s">
        <v>345</v>
      </c>
      <c r="C413" s="473">
        <v>1908</v>
      </c>
      <c r="D413" s="474">
        <v>43223</v>
      </c>
      <c r="E413" s="475">
        <v>9185.0110000000004</v>
      </c>
      <c r="F413" s="476" t="s">
        <v>183</v>
      </c>
      <c r="G413" s="475" t="s">
        <v>185</v>
      </c>
      <c r="H413" s="475" t="s">
        <v>187</v>
      </c>
      <c r="J413" s="473">
        <v>12</v>
      </c>
      <c r="K413" s="475">
        <v>6353.61</v>
      </c>
    </row>
    <row r="414" spans="1:11" x14ac:dyDescent="0.2">
      <c r="A414" s="472" t="s">
        <v>338</v>
      </c>
      <c r="B414" s="472" t="s">
        <v>345</v>
      </c>
      <c r="C414" s="473">
        <v>1908</v>
      </c>
      <c r="D414" s="474">
        <v>43223</v>
      </c>
      <c r="E414" s="475">
        <v>9185.0110000000004</v>
      </c>
      <c r="F414" s="476" t="s">
        <v>183</v>
      </c>
      <c r="G414" s="475" t="s">
        <v>185</v>
      </c>
      <c r="H414" s="475" t="s">
        <v>187</v>
      </c>
      <c r="J414" s="473">
        <v>18</v>
      </c>
      <c r="K414" s="475">
        <v>1753.3610000000001</v>
      </c>
    </row>
    <row r="415" spans="1:11" x14ac:dyDescent="0.2">
      <c r="A415" s="472" t="s">
        <v>338</v>
      </c>
      <c r="B415" s="472" t="s">
        <v>345</v>
      </c>
      <c r="C415" s="473">
        <v>1909</v>
      </c>
      <c r="D415" s="474">
        <v>43223</v>
      </c>
      <c r="E415" s="475">
        <v>22527.123</v>
      </c>
      <c r="F415" s="476" t="s">
        <v>183</v>
      </c>
      <c r="G415" s="475" t="s">
        <v>185</v>
      </c>
      <c r="H415" s="475" t="s">
        <v>187</v>
      </c>
      <c r="J415" s="473">
        <v>18</v>
      </c>
      <c r="K415" s="475">
        <v>19090.780999999999</v>
      </c>
    </row>
    <row r="416" spans="1:11" x14ac:dyDescent="0.2">
      <c r="A416" s="472" t="s">
        <v>338</v>
      </c>
      <c r="B416" s="472" t="s">
        <v>345</v>
      </c>
      <c r="C416" s="473">
        <v>1910</v>
      </c>
      <c r="D416" s="474">
        <v>43223</v>
      </c>
      <c r="E416" s="475">
        <v>3175.2</v>
      </c>
      <c r="F416" s="476" t="s">
        <v>183</v>
      </c>
      <c r="G416" s="475" t="s">
        <v>185</v>
      </c>
      <c r="H416" s="475" t="s">
        <v>187</v>
      </c>
      <c r="J416" s="473">
        <v>18</v>
      </c>
      <c r="K416" s="475">
        <v>2690.848</v>
      </c>
    </row>
    <row r="417" spans="1:11" x14ac:dyDescent="0.2">
      <c r="A417" s="472" t="s">
        <v>338</v>
      </c>
      <c r="B417" s="472" t="s">
        <v>345</v>
      </c>
      <c r="C417" s="473">
        <v>1911</v>
      </c>
      <c r="D417" s="474">
        <v>43224</v>
      </c>
      <c r="E417" s="475">
        <v>18876.845000000001</v>
      </c>
      <c r="F417" s="476" t="s">
        <v>183</v>
      </c>
      <c r="G417" s="475" t="s">
        <v>185</v>
      </c>
      <c r="H417" s="475" t="s">
        <v>187</v>
      </c>
      <c r="J417" s="473">
        <v>12</v>
      </c>
      <c r="K417" s="475">
        <v>1807.827</v>
      </c>
    </row>
    <row r="418" spans="1:11" x14ac:dyDescent="0.2">
      <c r="A418" s="472" t="s">
        <v>338</v>
      </c>
      <c r="B418" s="472" t="s">
        <v>345</v>
      </c>
      <c r="C418" s="473">
        <v>1911</v>
      </c>
      <c r="D418" s="474">
        <v>43224</v>
      </c>
      <c r="E418" s="475">
        <v>18876.845000000001</v>
      </c>
      <c r="F418" s="476" t="s">
        <v>183</v>
      </c>
      <c r="G418" s="475" t="s">
        <v>185</v>
      </c>
      <c r="H418" s="475" t="s">
        <v>187</v>
      </c>
      <c r="J418" s="473">
        <v>18</v>
      </c>
      <c r="K418" s="475">
        <v>14281.422</v>
      </c>
    </row>
    <row r="419" spans="1:11" x14ac:dyDescent="0.2">
      <c r="A419" s="472" t="s">
        <v>338</v>
      </c>
      <c r="B419" s="472" t="s">
        <v>345</v>
      </c>
      <c r="C419" s="473">
        <v>1912</v>
      </c>
      <c r="D419" s="474">
        <v>43224</v>
      </c>
      <c r="E419" s="475">
        <v>7961.4769999999999</v>
      </c>
      <c r="F419" s="476" t="s">
        <v>183</v>
      </c>
      <c r="G419" s="475" t="s">
        <v>185</v>
      </c>
      <c r="H419" s="475" t="s">
        <v>187</v>
      </c>
      <c r="J419" s="473">
        <v>12</v>
      </c>
      <c r="K419" s="475">
        <v>7108.4610000000002</v>
      </c>
    </row>
    <row r="420" spans="1:11" x14ac:dyDescent="0.2">
      <c r="A420" s="472" t="s">
        <v>338</v>
      </c>
      <c r="B420" s="472" t="s">
        <v>345</v>
      </c>
      <c r="C420" s="473">
        <v>1913</v>
      </c>
      <c r="D420" s="474">
        <v>43224</v>
      </c>
      <c r="E420" s="475">
        <v>4276.366</v>
      </c>
      <c r="F420" s="476" t="s">
        <v>183</v>
      </c>
      <c r="G420" s="475" t="s">
        <v>185</v>
      </c>
      <c r="H420" s="475" t="s">
        <v>187</v>
      </c>
      <c r="J420" s="473">
        <v>12</v>
      </c>
      <c r="K420" s="475">
        <v>3818.1840000000002</v>
      </c>
    </row>
    <row r="421" spans="1:11" x14ac:dyDescent="0.2">
      <c r="A421" s="472" t="s">
        <v>338</v>
      </c>
      <c r="B421" s="472" t="s">
        <v>345</v>
      </c>
      <c r="C421" s="473">
        <v>1914</v>
      </c>
      <c r="D421" s="474">
        <v>43225</v>
      </c>
      <c r="E421" s="475">
        <v>2520.002</v>
      </c>
      <c r="F421" s="476" t="s">
        <v>183</v>
      </c>
      <c r="G421" s="475" t="s">
        <v>185</v>
      </c>
      <c r="H421" s="475" t="s">
        <v>187</v>
      </c>
      <c r="J421" s="473">
        <v>18</v>
      </c>
      <c r="K421" s="475">
        <v>2135.5940000000001</v>
      </c>
    </row>
    <row r="422" spans="1:11" x14ac:dyDescent="0.2">
      <c r="A422" s="472" t="s">
        <v>338</v>
      </c>
      <c r="B422" s="472" t="s">
        <v>350</v>
      </c>
      <c r="C422" s="473">
        <v>1915</v>
      </c>
      <c r="D422" s="474">
        <v>43225</v>
      </c>
      <c r="E422" s="475">
        <v>8139.1319999999996</v>
      </c>
      <c r="F422" s="476" t="s">
        <v>183</v>
      </c>
      <c r="G422" s="475" t="s">
        <v>185</v>
      </c>
      <c r="H422" s="475" t="s">
        <v>187</v>
      </c>
      <c r="J422" s="473">
        <v>18</v>
      </c>
      <c r="K422" s="475">
        <v>6897.57</v>
      </c>
    </row>
    <row r="423" spans="1:11" x14ac:dyDescent="0.2">
      <c r="A423" s="472" t="s">
        <v>338</v>
      </c>
      <c r="B423" s="472" t="s">
        <v>345</v>
      </c>
      <c r="C423" s="473">
        <v>1916</v>
      </c>
      <c r="D423" s="474">
        <v>43225</v>
      </c>
      <c r="E423" s="475">
        <v>3717.9459999999999</v>
      </c>
      <c r="F423" s="476" t="s">
        <v>183</v>
      </c>
      <c r="G423" s="475" t="s">
        <v>185</v>
      </c>
      <c r="H423" s="475" t="s">
        <v>187</v>
      </c>
      <c r="J423" s="473">
        <v>18</v>
      </c>
      <c r="K423" s="475">
        <v>3150.8020000000001</v>
      </c>
    </row>
    <row r="424" spans="1:11" x14ac:dyDescent="0.2">
      <c r="A424" s="472" t="s">
        <v>338</v>
      </c>
      <c r="B424" s="472" t="s">
        <v>345</v>
      </c>
      <c r="C424" s="473">
        <v>1917</v>
      </c>
      <c r="D424" s="474">
        <v>43225</v>
      </c>
      <c r="E424" s="475">
        <v>5836.3239999999996</v>
      </c>
      <c r="F424" s="476" t="s">
        <v>183</v>
      </c>
      <c r="G424" s="475" t="s">
        <v>185</v>
      </c>
      <c r="H424" s="475" t="s">
        <v>187</v>
      </c>
      <c r="J424" s="473">
        <v>18</v>
      </c>
      <c r="K424" s="475">
        <v>4946.0360000000001</v>
      </c>
    </row>
    <row r="425" spans="1:11" x14ac:dyDescent="0.2">
      <c r="A425" s="472" t="s">
        <v>338</v>
      </c>
      <c r="B425" s="472" t="s">
        <v>345</v>
      </c>
      <c r="C425" s="473">
        <v>1918</v>
      </c>
      <c r="D425" s="474">
        <v>43225</v>
      </c>
      <c r="E425" s="475">
        <v>10421.040000000001</v>
      </c>
      <c r="F425" s="476" t="s">
        <v>183</v>
      </c>
      <c r="G425" s="475" t="s">
        <v>185</v>
      </c>
      <c r="H425" s="475" t="s">
        <v>187</v>
      </c>
      <c r="J425" s="473">
        <v>18</v>
      </c>
      <c r="K425" s="475">
        <v>8831.39</v>
      </c>
    </row>
    <row r="426" spans="1:11" x14ac:dyDescent="0.2">
      <c r="A426" s="472" t="s">
        <v>338</v>
      </c>
      <c r="B426" s="472" t="s">
        <v>345</v>
      </c>
      <c r="C426" s="473">
        <v>1919</v>
      </c>
      <c r="D426" s="474">
        <v>43225</v>
      </c>
      <c r="E426" s="475">
        <v>26379.864000000001</v>
      </c>
      <c r="F426" s="476" t="s">
        <v>183</v>
      </c>
      <c r="G426" s="475" t="s">
        <v>185</v>
      </c>
      <c r="H426" s="475" t="s">
        <v>187</v>
      </c>
      <c r="J426" s="473">
        <v>5</v>
      </c>
      <c r="K426" s="475">
        <v>862.17200000000003</v>
      </c>
    </row>
    <row r="427" spans="1:11" x14ac:dyDescent="0.2">
      <c r="A427" s="472" t="s">
        <v>338</v>
      </c>
      <c r="B427" s="472" t="s">
        <v>345</v>
      </c>
      <c r="C427" s="473">
        <v>1919</v>
      </c>
      <c r="D427" s="474">
        <v>43225</v>
      </c>
      <c r="E427" s="475">
        <v>26379.864000000001</v>
      </c>
      <c r="F427" s="476" t="s">
        <v>183</v>
      </c>
      <c r="G427" s="475" t="s">
        <v>185</v>
      </c>
      <c r="H427" s="475" t="s">
        <v>187</v>
      </c>
      <c r="J427" s="473">
        <v>12</v>
      </c>
      <c r="K427" s="475">
        <v>7726.8459999999995</v>
      </c>
    </row>
    <row r="428" spans="1:11" x14ac:dyDescent="0.2">
      <c r="A428" s="472" t="s">
        <v>338</v>
      </c>
      <c r="B428" s="472" t="s">
        <v>345</v>
      </c>
      <c r="C428" s="473">
        <v>1919</v>
      </c>
      <c r="D428" s="474">
        <v>43225</v>
      </c>
      <c r="E428" s="475">
        <v>26379.864000000001</v>
      </c>
      <c r="F428" s="476" t="s">
        <v>183</v>
      </c>
      <c r="G428" s="475" t="s">
        <v>185</v>
      </c>
      <c r="H428" s="475" t="s">
        <v>187</v>
      </c>
      <c r="J428" s="473">
        <v>18</v>
      </c>
      <c r="K428" s="475">
        <v>14254.674000000001</v>
      </c>
    </row>
    <row r="429" spans="1:11" x14ac:dyDescent="0.2">
      <c r="A429" s="472" t="s">
        <v>338</v>
      </c>
      <c r="B429" s="472" t="s">
        <v>345</v>
      </c>
      <c r="C429" s="473">
        <v>1920</v>
      </c>
      <c r="D429" s="474">
        <v>43228</v>
      </c>
      <c r="E429" s="475">
        <v>10059.84</v>
      </c>
      <c r="F429" s="476" t="s">
        <v>183</v>
      </c>
      <c r="G429" s="475" t="s">
        <v>185</v>
      </c>
      <c r="H429" s="475" t="s">
        <v>187</v>
      </c>
      <c r="J429" s="473">
        <v>18</v>
      </c>
      <c r="K429" s="475">
        <v>8525.2880000000005</v>
      </c>
    </row>
    <row r="430" spans="1:11" x14ac:dyDescent="0.2">
      <c r="A430" s="472" t="s">
        <v>338</v>
      </c>
      <c r="B430" s="472" t="s">
        <v>345</v>
      </c>
      <c r="C430" s="473">
        <v>1921</v>
      </c>
      <c r="D430" s="474">
        <v>43232</v>
      </c>
      <c r="E430" s="475">
        <v>16539.600999999999</v>
      </c>
      <c r="F430" s="476" t="s">
        <v>183</v>
      </c>
      <c r="G430" s="475" t="s">
        <v>185</v>
      </c>
      <c r="H430" s="475" t="s">
        <v>187</v>
      </c>
      <c r="J430" s="473">
        <v>18</v>
      </c>
      <c r="K430" s="475">
        <v>14016.611000000001</v>
      </c>
    </row>
    <row r="431" spans="1:11" x14ac:dyDescent="0.2">
      <c r="A431" s="472" t="s">
        <v>338</v>
      </c>
      <c r="B431" s="472" t="s">
        <v>345</v>
      </c>
      <c r="C431" s="473">
        <v>1922</v>
      </c>
      <c r="D431" s="474">
        <v>43232</v>
      </c>
      <c r="E431" s="475">
        <v>22926.963</v>
      </c>
      <c r="F431" s="476" t="s">
        <v>183</v>
      </c>
      <c r="G431" s="475" t="s">
        <v>185</v>
      </c>
      <c r="H431" s="475" t="s">
        <v>187</v>
      </c>
      <c r="J431" s="473">
        <v>18</v>
      </c>
      <c r="K431" s="475">
        <v>19429.629000000001</v>
      </c>
    </row>
    <row r="432" spans="1:11" x14ac:dyDescent="0.2">
      <c r="A432" s="472" t="s">
        <v>338</v>
      </c>
      <c r="B432" s="472" t="s">
        <v>345</v>
      </c>
      <c r="C432" s="473">
        <v>1923</v>
      </c>
      <c r="D432" s="474">
        <v>43232</v>
      </c>
      <c r="E432" s="475">
        <v>11897.436</v>
      </c>
      <c r="F432" s="476" t="s">
        <v>183</v>
      </c>
      <c r="G432" s="475" t="s">
        <v>185</v>
      </c>
      <c r="H432" s="475" t="s">
        <v>187</v>
      </c>
      <c r="J432" s="473">
        <v>18</v>
      </c>
      <c r="K432" s="475">
        <v>10082.572</v>
      </c>
    </row>
    <row r="433" spans="1:12" x14ac:dyDescent="0.2">
      <c r="A433" s="472" t="s">
        <v>338</v>
      </c>
      <c r="B433" s="472" t="s">
        <v>345</v>
      </c>
      <c r="C433" s="473">
        <v>1924</v>
      </c>
      <c r="D433" s="474">
        <v>43232</v>
      </c>
      <c r="E433" s="475">
        <v>1915.201</v>
      </c>
      <c r="F433" s="476" t="s">
        <v>183</v>
      </c>
      <c r="G433" s="475" t="s">
        <v>185</v>
      </c>
      <c r="H433" s="475" t="s">
        <v>187</v>
      </c>
      <c r="J433" s="473">
        <v>18</v>
      </c>
      <c r="K433" s="475">
        <v>1623.0509999999999</v>
      </c>
    </row>
    <row r="434" spans="1:12" x14ac:dyDescent="0.2">
      <c r="A434" s="472" t="s">
        <v>338</v>
      </c>
      <c r="B434" s="472" t="s">
        <v>345</v>
      </c>
      <c r="C434" s="473">
        <v>1925</v>
      </c>
      <c r="D434" s="474">
        <v>43232</v>
      </c>
      <c r="E434" s="475">
        <v>4486.3329999999996</v>
      </c>
      <c r="F434" s="476" t="s">
        <v>183</v>
      </c>
      <c r="G434" s="475" t="s">
        <v>185</v>
      </c>
      <c r="H434" s="475" t="s">
        <v>187</v>
      </c>
      <c r="J434" s="473">
        <v>12</v>
      </c>
      <c r="K434" s="475">
        <v>2355.6550000000002</v>
      </c>
    </row>
    <row r="435" spans="1:12" x14ac:dyDescent="0.2">
      <c r="A435" s="472" t="s">
        <v>338</v>
      </c>
      <c r="B435" s="472" t="s">
        <v>345</v>
      </c>
      <c r="C435" s="473">
        <v>1925</v>
      </c>
      <c r="D435" s="474">
        <v>43232</v>
      </c>
      <c r="E435" s="475">
        <v>4486.3329999999996</v>
      </c>
      <c r="F435" s="476" t="s">
        <v>183</v>
      </c>
      <c r="G435" s="475" t="s">
        <v>185</v>
      </c>
      <c r="H435" s="475" t="s">
        <v>187</v>
      </c>
      <c r="J435" s="473">
        <v>18</v>
      </c>
      <c r="K435" s="475">
        <v>1566.1020000000001</v>
      </c>
    </row>
    <row r="436" spans="1:12" x14ac:dyDescent="0.2">
      <c r="A436" s="477" t="s">
        <v>338</v>
      </c>
      <c r="B436" s="472" t="s">
        <v>348</v>
      </c>
      <c r="C436" s="473">
        <v>1926</v>
      </c>
      <c r="D436" s="478">
        <v>43232</v>
      </c>
      <c r="E436" s="475">
        <v>2562.75</v>
      </c>
      <c r="F436" s="476" t="s">
        <v>183</v>
      </c>
      <c r="G436" s="475" t="s">
        <v>185</v>
      </c>
      <c r="H436" s="475" t="s">
        <v>187</v>
      </c>
      <c r="J436" s="473">
        <v>18</v>
      </c>
      <c r="K436" s="477">
        <v>2171.8200000000002</v>
      </c>
      <c r="L436" s="477"/>
    </row>
    <row r="437" spans="1:12" x14ac:dyDescent="0.2">
      <c r="A437" s="472" t="s">
        <v>338</v>
      </c>
      <c r="B437" s="472" t="s">
        <v>345</v>
      </c>
      <c r="C437" s="473">
        <v>1927</v>
      </c>
      <c r="D437" s="474">
        <v>43232</v>
      </c>
      <c r="E437" s="475">
        <v>3165.1210000000001</v>
      </c>
      <c r="F437" s="476" t="s">
        <v>183</v>
      </c>
      <c r="G437" s="475" t="s">
        <v>185</v>
      </c>
      <c r="H437" s="475" t="s">
        <v>187</v>
      </c>
      <c r="J437" s="473">
        <v>18</v>
      </c>
      <c r="K437" s="475">
        <v>2682.3049999999998</v>
      </c>
    </row>
    <row r="438" spans="1:12" x14ac:dyDescent="0.2">
      <c r="A438" s="472" t="s">
        <v>338</v>
      </c>
      <c r="B438" s="472" t="s">
        <v>345</v>
      </c>
      <c r="C438" s="473">
        <v>1928</v>
      </c>
      <c r="D438" s="474">
        <v>43235</v>
      </c>
      <c r="E438" s="475">
        <v>11951.521000000001</v>
      </c>
      <c r="F438" s="476" t="s">
        <v>183</v>
      </c>
      <c r="G438" s="475" t="s">
        <v>185</v>
      </c>
      <c r="H438" s="475" t="s">
        <v>187</v>
      </c>
      <c r="J438" s="473">
        <v>18</v>
      </c>
      <c r="K438" s="475">
        <v>10128.406999999999</v>
      </c>
    </row>
    <row r="439" spans="1:12" x14ac:dyDescent="0.2">
      <c r="A439" s="472" t="s">
        <v>338</v>
      </c>
      <c r="B439" s="472" t="s">
        <v>345</v>
      </c>
      <c r="C439" s="473">
        <v>1929</v>
      </c>
      <c r="D439" s="474">
        <v>43235</v>
      </c>
      <c r="E439" s="475">
        <v>9966.4760000000006</v>
      </c>
      <c r="F439" s="476" t="s">
        <v>183</v>
      </c>
      <c r="G439" s="475" t="s">
        <v>185</v>
      </c>
      <c r="H439" s="475" t="s">
        <v>187</v>
      </c>
      <c r="J439" s="473">
        <v>18</v>
      </c>
      <c r="K439" s="475">
        <v>8446.1659999999993</v>
      </c>
    </row>
    <row r="440" spans="1:12" x14ac:dyDescent="0.2">
      <c r="A440" s="472" t="s">
        <v>338</v>
      </c>
      <c r="B440" s="472" t="s">
        <v>345</v>
      </c>
      <c r="C440" s="473">
        <v>1930</v>
      </c>
      <c r="D440" s="474">
        <v>43235</v>
      </c>
      <c r="E440" s="475">
        <v>10848.951999999999</v>
      </c>
      <c r="F440" s="476" t="s">
        <v>183</v>
      </c>
      <c r="G440" s="475" t="s">
        <v>185</v>
      </c>
      <c r="H440" s="475" t="s">
        <v>187</v>
      </c>
      <c r="J440" s="473">
        <v>12</v>
      </c>
      <c r="K440" s="475">
        <v>9686.5640000000003</v>
      </c>
    </row>
    <row r="441" spans="1:12" x14ac:dyDescent="0.2">
      <c r="A441" s="472" t="s">
        <v>338</v>
      </c>
      <c r="B441" s="472" t="s">
        <v>345</v>
      </c>
      <c r="C441" s="473">
        <v>1931</v>
      </c>
      <c r="D441" s="474">
        <v>43235</v>
      </c>
      <c r="E441" s="475">
        <v>13230.761</v>
      </c>
      <c r="F441" s="476" t="s">
        <v>183</v>
      </c>
      <c r="G441" s="475" t="s">
        <v>185</v>
      </c>
      <c r="H441" s="475" t="s">
        <v>187</v>
      </c>
      <c r="J441" s="473">
        <v>18</v>
      </c>
      <c r="K441" s="475">
        <v>11212.509</v>
      </c>
    </row>
    <row r="442" spans="1:12" x14ac:dyDescent="0.2">
      <c r="A442" s="472" t="s">
        <v>338</v>
      </c>
      <c r="B442" s="472" t="s">
        <v>345</v>
      </c>
      <c r="C442" s="473">
        <v>1932</v>
      </c>
      <c r="D442" s="474">
        <v>43235</v>
      </c>
      <c r="E442" s="475">
        <v>6974.3440000000001</v>
      </c>
      <c r="F442" s="476" t="s">
        <v>183</v>
      </c>
      <c r="G442" s="475" t="s">
        <v>185</v>
      </c>
      <c r="H442" s="475" t="s">
        <v>187</v>
      </c>
      <c r="J442" s="473">
        <v>18</v>
      </c>
      <c r="K442" s="475">
        <v>5910.46</v>
      </c>
    </row>
    <row r="443" spans="1:12" x14ac:dyDescent="0.2">
      <c r="A443" s="472" t="s">
        <v>338</v>
      </c>
      <c r="B443" s="472" t="s">
        <v>345</v>
      </c>
      <c r="C443" s="473">
        <v>1933</v>
      </c>
      <c r="D443" s="474">
        <v>43236</v>
      </c>
      <c r="E443" s="475">
        <v>14974.325000000001</v>
      </c>
      <c r="F443" s="476" t="s">
        <v>183</v>
      </c>
      <c r="G443" s="475" t="s">
        <v>185</v>
      </c>
      <c r="H443" s="475" t="s">
        <v>187</v>
      </c>
      <c r="J443" s="473">
        <v>18</v>
      </c>
      <c r="K443" s="475">
        <v>12690.105</v>
      </c>
    </row>
  </sheetData>
  <conditionalFormatting sqref="A1:A1048576">
    <cfRule type="expression" dxfId="209" priority="486">
      <formula>OR(CELL("row")=CELL("row",#REF!))</formula>
    </cfRule>
  </conditionalFormatting>
  <conditionalFormatting sqref="C2:XFD443 XFC1:XFD1 XFC444:XFD1048576">
    <cfRule type="expression" dxfId="208" priority="487">
      <formula>OR(CELL("row")=CELL("row",A1048404))</formula>
    </cfRule>
  </conditionalFormatting>
  <conditionalFormatting sqref="B2:B443">
    <cfRule type="expression" dxfId="207" priority="1">
      <formula>OR(CELL("row")=CELL("row",#REF!))</formula>
    </cfRule>
  </conditionalFormatting>
  <conditionalFormatting sqref="B1:XFB1 B444:XFB1048576">
    <cfRule type="expression" dxfId="206" priority="489">
      <formula>OR(CELL("row")=CELL("row",A1048404))</formula>
    </cfRule>
  </conditionalFormatting>
  <pageMargins left="0.7" right="0.7" top="0.75" bottom="0.75" header="0.3" footer="0.3"/>
  <pageSetup orientation="portrait" horizontalDpi="4294967294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>
    <tabColor rgb="FFFF0000"/>
  </sheetPr>
  <dimension ref="A1:O339"/>
  <sheetViews>
    <sheetView topLeftCell="A350" zoomScale="115" zoomScaleNormal="115" workbookViewId="0">
      <selection activeCell="A124" sqref="A124"/>
    </sheetView>
  </sheetViews>
  <sheetFormatPr defaultRowHeight="11.25" x14ac:dyDescent="0.2"/>
  <cols>
    <col min="1" max="1" width="9.140625" style="513" customWidth="1"/>
    <col min="2" max="2" width="10.140625" style="514" customWidth="1"/>
    <col min="3" max="3" width="30" style="515" customWidth="1"/>
    <col min="4" max="4" width="8.5703125" style="516" customWidth="1"/>
    <col min="5" max="5" width="8.42578125" style="516" customWidth="1"/>
    <col min="6" max="6" width="8" style="516" customWidth="1"/>
    <col min="7" max="7" width="7.42578125" style="516" bestFit="1" customWidth="1"/>
    <col min="8" max="8" width="28.85546875" style="508" customWidth="1"/>
    <col min="9" max="9" width="29.42578125" style="508" bestFit="1" customWidth="1"/>
    <col min="10" max="16384" width="9.140625" style="508"/>
  </cols>
  <sheetData>
    <row r="1" spans="1:15" ht="15" customHeight="1" x14ac:dyDescent="0.45">
      <c r="A1" s="646" t="s">
        <v>335</v>
      </c>
      <c r="B1" s="646"/>
      <c r="C1" s="646"/>
      <c r="D1" s="646"/>
      <c r="E1" s="646"/>
      <c r="F1" s="646"/>
      <c r="G1" s="646"/>
      <c r="H1" s="215"/>
      <c r="I1" s="166"/>
      <c r="J1" s="166"/>
      <c r="K1" s="166"/>
      <c r="L1" s="166"/>
      <c r="M1" s="166"/>
      <c r="N1" s="166"/>
      <c r="O1" s="166"/>
    </row>
    <row r="2" spans="1:15" ht="15" customHeight="1" x14ac:dyDescent="0.45">
      <c r="A2" s="646"/>
      <c r="B2" s="646"/>
      <c r="C2" s="646"/>
      <c r="D2" s="646"/>
      <c r="E2" s="646"/>
      <c r="F2" s="646"/>
      <c r="G2" s="646"/>
      <c r="H2" s="215"/>
      <c r="I2" s="166"/>
      <c r="J2" s="166"/>
      <c r="K2" s="166"/>
      <c r="L2" s="166"/>
      <c r="M2" s="166"/>
      <c r="N2" s="166"/>
      <c r="O2" s="166"/>
    </row>
    <row r="3" spans="1:15" ht="10.5" customHeight="1" x14ac:dyDescent="0.2">
      <c r="A3" s="647" t="s">
        <v>20</v>
      </c>
      <c r="B3" s="647"/>
      <c r="C3" s="647"/>
      <c r="D3" s="647"/>
      <c r="E3" s="647"/>
      <c r="F3" s="647"/>
      <c r="G3" s="647"/>
      <c r="H3" s="509"/>
      <c r="J3" s="510"/>
      <c r="K3" s="510"/>
      <c r="L3" s="510"/>
      <c r="M3" s="510"/>
      <c r="N3" s="510"/>
      <c r="O3" s="510"/>
    </row>
    <row r="4" spans="1:15" ht="11.25" customHeight="1" x14ac:dyDescent="0.2">
      <c r="A4" s="647" t="s">
        <v>333</v>
      </c>
      <c r="B4" s="647"/>
      <c r="C4" s="647"/>
      <c r="D4" s="647"/>
      <c r="E4" s="647"/>
      <c r="F4" s="647"/>
      <c r="G4" s="647"/>
      <c r="H4" s="509"/>
      <c r="I4" s="510"/>
      <c r="J4" s="510"/>
      <c r="K4" s="510"/>
      <c r="L4" s="510"/>
      <c r="M4" s="510"/>
      <c r="N4" s="510"/>
      <c r="O4" s="510"/>
    </row>
    <row r="5" spans="1:15" ht="12" customHeight="1" thickBot="1" x14ac:dyDescent="0.25">
      <c r="A5" s="648" t="s">
        <v>334</v>
      </c>
      <c r="B5" s="648"/>
      <c r="C5" s="648"/>
      <c r="D5" s="648"/>
      <c r="E5" s="648"/>
      <c r="F5" s="648"/>
      <c r="G5" s="648"/>
      <c r="H5" s="511"/>
      <c r="I5" s="512"/>
      <c r="J5" s="512"/>
      <c r="K5" s="512"/>
      <c r="L5" s="512"/>
      <c r="M5" s="512"/>
      <c r="N5" s="512"/>
      <c r="O5" s="512"/>
    </row>
    <row r="6" spans="1:15" s="168" customFormat="1" ht="26.25" thickBot="1" x14ac:dyDescent="0.25">
      <c r="A6" s="176" t="s">
        <v>64</v>
      </c>
      <c r="B6" s="178" t="s">
        <v>57</v>
      </c>
      <c r="C6" s="63" t="s">
        <v>65</v>
      </c>
      <c r="D6" s="62" t="s">
        <v>66</v>
      </c>
      <c r="E6" s="62" t="s">
        <v>5</v>
      </c>
      <c r="F6" s="62" t="s">
        <v>6</v>
      </c>
      <c r="G6" s="177" t="s">
        <v>19</v>
      </c>
      <c r="H6" s="175"/>
    </row>
    <row r="7" spans="1:15" x14ac:dyDescent="0.2">
      <c r="A7" s="513">
        <v>1601</v>
      </c>
      <c r="B7" s="514">
        <v>43047</v>
      </c>
      <c r="C7" s="515" t="s">
        <v>129</v>
      </c>
      <c r="D7" s="516">
        <v>8744.8799999999992</v>
      </c>
      <c r="E7" s="516">
        <v>1036.3599999999999</v>
      </c>
      <c r="F7" s="516">
        <v>1036.3599999999999</v>
      </c>
      <c r="G7" s="516">
        <v>10817.6</v>
      </c>
      <c r="I7" s="514"/>
    </row>
    <row r="8" spans="1:15" x14ac:dyDescent="0.2">
      <c r="A8" s="513">
        <v>1602</v>
      </c>
      <c r="B8" s="514">
        <v>43048</v>
      </c>
      <c r="C8" s="515" t="s">
        <v>128</v>
      </c>
      <c r="D8" s="516">
        <v>14557.92</v>
      </c>
      <c r="E8" s="516">
        <v>1931.34</v>
      </c>
      <c r="F8" s="516">
        <v>1931.34</v>
      </c>
      <c r="G8" s="516">
        <v>18420.599999999999</v>
      </c>
      <c r="I8" s="514"/>
    </row>
    <row r="9" spans="1:15" x14ac:dyDescent="0.2">
      <c r="A9" s="513">
        <v>1603</v>
      </c>
      <c r="B9" s="514">
        <v>43050</v>
      </c>
      <c r="C9" s="515" t="s">
        <v>130</v>
      </c>
      <c r="D9" s="516">
        <v>6215.88</v>
      </c>
      <c r="E9" s="516">
        <v>763.45</v>
      </c>
      <c r="F9" s="516">
        <v>763.45</v>
      </c>
      <c r="G9" s="516">
        <v>7742.78</v>
      </c>
      <c r="I9" s="514"/>
    </row>
    <row r="10" spans="1:15" x14ac:dyDescent="0.2">
      <c r="A10" s="513">
        <v>1604</v>
      </c>
      <c r="B10" s="514">
        <v>43050</v>
      </c>
      <c r="C10" s="515" t="s">
        <v>130</v>
      </c>
      <c r="D10" s="516">
        <v>7299.84</v>
      </c>
      <c r="E10" s="516">
        <v>656.99</v>
      </c>
      <c r="F10" s="516">
        <v>656.99</v>
      </c>
      <c r="G10" s="516">
        <v>8613.82</v>
      </c>
      <c r="I10" s="514"/>
    </row>
    <row r="11" spans="1:15" x14ac:dyDescent="0.2">
      <c r="A11" s="513">
        <v>1605</v>
      </c>
      <c r="B11" s="514">
        <v>43052</v>
      </c>
      <c r="C11" s="515" t="s">
        <v>124</v>
      </c>
      <c r="D11" s="516">
        <v>6255.36</v>
      </c>
      <c r="E11" s="516">
        <v>562.98</v>
      </c>
      <c r="F11" s="516">
        <v>562.98</v>
      </c>
      <c r="G11" s="516">
        <v>7381.32</v>
      </c>
      <c r="I11" s="514"/>
    </row>
    <row r="12" spans="1:15" x14ac:dyDescent="0.2">
      <c r="A12" s="513">
        <v>1606</v>
      </c>
      <c r="B12" s="514">
        <v>43052</v>
      </c>
      <c r="C12" s="515" t="s">
        <v>123</v>
      </c>
      <c r="D12" s="516">
        <v>8951.76</v>
      </c>
      <c r="E12" s="516">
        <v>805.66</v>
      </c>
      <c r="F12" s="516">
        <v>805.66</v>
      </c>
      <c r="G12" s="516">
        <v>10563.08</v>
      </c>
      <c r="I12" s="514"/>
    </row>
    <row r="13" spans="1:15" x14ac:dyDescent="0.2">
      <c r="A13" s="513">
        <v>1607</v>
      </c>
      <c r="B13" s="514">
        <v>43052</v>
      </c>
      <c r="C13" s="515" t="s">
        <v>128</v>
      </c>
      <c r="D13" s="516">
        <v>8690.8799999999992</v>
      </c>
      <c r="E13" s="516">
        <v>782.18</v>
      </c>
      <c r="F13" s="516">
        <v>782.18</v>
      </c>
      <c r="G13" s="516">
        <v>10255.24</v>
      </c>
      <c r="I13" s="514"/>
    </row>
    <row r="14" spans="1:15" x14ac:dyDescent="0.2">
      <c r="A14" s="513">
        <v>1608</v>
      </c>
      <c r="B14" s="514">
        <v>43054</v>
      </c>
      <c r="C14" s="515" t="s">
        <v>137</v>
      </c>
      <c r="D14" s="516">
        <v>1424.16</v>
      </c>
      <c r="E14" s="516">
        <v>128.18</v>
      </c>
      <c r="F14" s="516">
        <v>128.18</v>
      </c>
      <c r="G14" s="516">
        <v>1680.5200000000002</v>
      </c>
      <c r="I14" s="514"/>
    </row>
    <row r="15" spans="1:15" x14ac:dyDescent="0.2">
      <c r="A15" s="513">
        <v>1609</v>
      </c>
      <c r="B15" s="514">
        <v>43054</v>
      </c>
      <c r="C15" s="515" t="s">
        <v>130</v>
      </c>
      <c r="D15" s="516">
        <v>6739.8</v>
      </c>
      <c r="E15" s="516">
        <v>606.59</v>
      </c>
      <c r="F15" s="516">
        <v>606.59</v>
      </c>
      <c r="G15" s="516">
        <v>7952.9800000000005</v>
      </c>
      <c r="I15" s="514"/>
    </row>
    <row r="16" spans="1:15" x14ac:dyDescent="0.2">
      <c r="A16" s="513">
        <v>1610</v>
      </c>
      <c r="B16" s="514">
        <v>43055</v>
      </c>
      <c r="C16" s="515" t="s">
        <v>125</v>
      </c>
      <c r="D16" s="516">
        <v>4527.5200000000004</v>
      </c>
      <c r="E16" s="516">
        <v>380.36</v>
      </c>
      <c r="F16" s="516">
        <v>380.36</v>
      </c>
      <c r="G16" s="516">
        <v>5288.24</v>
      </c>
      <c r="I16" s="514"/>
    </row>
    <row r="17" spans="1:11" x14ac:dyDescent="0.2">
      <c r="A17" s="513">
        <v>1611</v>
      </c>
      <c r="B17" s="514">
        <v>43055</v>
      </c>
      <c r="C17" s="515" t="s">
        <v>126</v>
      </c>
      <c r="D17" s="516">
        <v>10118.549999999999</v>
      </c>
      <c r="E17" s="516">
        <v>910.67</v>
      </c>
      <c r="F17" s="516">
        <v>910.67</v>
      </c>
      <c r="G17" s="516">
        <v>11939.89</v>
      </c>
      <c r="I17" s="514"/>
    </row>
    <row r="18" spans="1:11" x14ac:dyDescent="0.2">
      <c r="A18" s="513">
        <v>1612</v>
      </c>
      <c r="B18" s="514">
        <v>43055</v>
      </c>
      <c r="C18" s="515" t="s">
        <v>128</v>
      </c>
      <c r="D18" s="516">
        <v>3365.64</v>
      </c>
      <c r="E18" s="516">
        <v>302.91000000000003</v>
      </c>
      <c r="F18" s="516">
        <v>302.91000000000003</v>
      </c>
      <c r="G18" s="516">
        <v>3971.4599999999996</v>
      </c>
      <c r="I18" s="514"/>
    </row>
    <row r="19" spans="1:11" x14ac:dyDescent="0.2">
      <c r="A19" s="513">
        <v>1613</v>
      </c>
      <c r="B19" s="514">
        <v>43055</v>
      </c>
      <c r="C19" s="515" t="s">
        <v>128</v>
      </c>
      <c r="D19" s="516">
        <v>2718.13</v>
      </c>
      <c r="E19" s="516">
        <v>244.63</v>
      </c>
      <c r="F19" s="516">
        <v>244.63</v>
      </c>
      <c r="G19" s="516">
        <v>3207.3900000000003</v>
      </c>
      <c r="I19" s="514"/>
    </row>
    <row r="20" spans="1:11" x14ac:dyDescent="0.2">
      <c r="A20" s="513">
        <v>1614</v>
      </c>
      <c r="B20" s="514">
        <v>43060</v>
      </c>
      <c r="C20" s="515" t="s">
        <v>123</v>
      </c>
      <c r="D20" s="516">
        <v>3868.02</v>
      </c>
      <c r="E20" s="516">
        <v>313.61</v>
      </c>
      <c r="F20" s="516">
        <v>313.61</v>
      </c>
      <c r="G20" s="516">
        <v>4495.24</v>
      </c>
      <c r="I20" s="514"/>
    </row>
    <row r="21" spans="1:11" x14ac:dyDescent="0.2">
      <c r="A21" s="513">
        <v>1615</v>
      </c>
      <c r="B21" s="514">
        <v>43060</v>
      </c>
      <c r="C21" s="515" t="s">
        <v>130</v>
      </c>
      <c r="D21" s="516">
        <v>2767.68</v>
      </c>
      <c r="E21" s="516">
        <v>249.1</v>
      </c>
      <c r="F21" s="516">
        <v>249.1</v>
      </c>
      <c r="G21" s="516">
        <v>3265.8799999999997</v>
      </c>
      <c r="I21" s="514"/>
    </row>
    <row r="22" spans="1:11" x14ac:dyDescent="0.2">
      <c r="A22" s="513">
        <v>1616</v>
      </c>
      <c r="B22" s="517">
        <v>43060</v>
      </c>
      <c r="C22" s="174" t="s">
        <v>106</v>
      </c>
      <c r="D22" s="508">
        <v>6280.17</v>
      </c>
      <c r="E22" s="508">
        <v>565.22</v>
      </c>
      <c r="F22" s="516">
        <v>565.22</v>
      </c>
      <c r="G22" s="516">
        <v>7410.6100000000006</v>
      </c>
      <c r="I22" s="517"/>
    </row>
    <row r="23" spans="1:11" x14ac:dyDescent="0.2">
      <c r="A23" s="513">
        <v>1617</v>
      </c>
      <c r="B23" s="517">
        <v>43062</v>
      </c>
      <c r="C23" s="515" t="s">
        <v>123</v>
      </c>
      <c r="D23" s="508">
        <v>11914.86</v>
      </c>
      <c r="E23" s="508">
        <v>1072.3499999999999</v>
      </c>
      <c r="F23" s="516">
        <v>1072.3499999999999</v>
      </c>
      <c r="G23" s="516">
        <v>14059.560000000001</v>
      </c>
      <c r="I23" s="517"/>
      <c r="K23" s="508" t="s">
        <v>75</v>
      </c>
    </row>
    <row r="24" spans="1:11" x14ac:dyDescent="0.2">
      <c r="A24" s="513">
        <v>1618</v>
      </c>
      <c r="B24" s="517">
        <v>43062</v>
      </c>
      <c r="C24" s="515" t="s">
        <v>123</v>
      </c>
      <c r="D24" s="508">
        <v>7039.92</v>
      </c>
      <c r="E24" s="508">
        <v>633.59</v>
      </c>
      <c r="F24" s="516">
        <v>633.59</v>
      </c>
      <c r="G24" s="516">
        <v>8307.1</v>
      </c>
      <c r="I24" s="517"/>
    </row>
    <row r="25" spans="1:11" x14ac:dyDescent="0.2">
      <c r="A25" s="513">
        <v>1619</v>
      </c>
      <c r="B25" s="517">
        <v>43063</v>
      </c>
      <c r="C25" s="508" t="s">
        <v>104</v>
      </c>
      <c r="D25" s="508">
        <v>3698</v>
      </c>
      <c r="E25" s="508">
        <v>332.82</v>
      </c>
      <c r="F25" s="516">
        <v>332.82</v>
      </c>
      <c r="G25" s="516">
        <v>4363.6400000000003</v>
      </c>
      <c r="I25" s="517"/>
    </row>
    <row r="26" spans="1:11" x14ac:dyDescent="0.2">
      <c r="A26" s="513">
        <v>1620</v>
      </c>
      <c r="B26" s="517">
        <v>43066</v>
      </c>
      <c r="C26" s="515" t="s">
        <v>128</v>
      </c>
      <c r="D26" s="508">
        <v>7350.6</v>
      </c>
      <c r="E26" s="508">
        <v>661.56</v>
      </c>
      <c r="F26" s="516">
        <v>661.56</v>
      </c>
      <c r="G26" s="516">
        <v>8673.7199999999993</v>
      </c>
      <c r="I26" s="517"/>
    </row>
    <row r="27" spans="1:11" x14ac:dyDescent="0.2">
      <c r="A27" s="513">
        <v>1621</v>
      </c>
      <c r="B27" s="517">
        <v>43067</v>
      </c>
      <c r="C27" s="515" t="s">
        <v>128</v>
      </c>
      <c r="D27" s="508">
        <v>19193.89</v>
      </c>
      <c r="E27" s="508">
        <v>1711.02</v>
      </c>
      <c r="F27" s="516">
        <v>1711.02</v>
      </c>
      <c r="G27" s="516">
        <v>22615.93</v>
      </c>
      <c r="I27" s="517"/>
    </row>
    <row r="28" spans="1:11" x14ac:dyDescent="0.2">
      <c r="A28" s="513">
        <v>1622</v>
      </c>
      <c r="B28" s="517">
        <v>43067</v>
      </c>
      <c r="C28" s="515" t="s">
        <v>128</v>
      </c>
      <c r="D28" s="508">
        <v>5516.55</v>
      </c>
      <c r="E28" s="508">
        <v>496.5</v>
      </c>
      <c r="F28" s="516">
        <v>496.5</v>
      </c>
      <c r="G28" s="516">
        <v>6509.55</v>
      </c>
      <c r="I28" s="517"/>
    </row>
    <row r="29" spans="1:11" x14ac:dyDescent="0.2">
      <c r="A29" s="513">
        <v>1623</v>
      </c>
      <c r="B29" s="517">
        <v>43067</v>
      </c>
      <c r="C29" s="515" t="s">
        <v>130</v>
      </c>
      <c r="D29" s="508">
        <v>11544.93</v>
      </c>
      <c r="E29" s="508">
        <v>1039.05</v>
      </c>
      <c r="F29" s="516">
        <v>1039.05</v>
      </c>
      <c r="G29" s="516">
        <v>13623.029999999999</v>
      </c>
      <c r="I29" s="517"/>
    </row>
    <row r="30" spans="1:11" x14ac:dyDescent="0.2">
      <c r="A30" s="513">
        <v>1624</v>
      </c>
      <c r="B30" s="517">
        <v>43068</v>
      </c>
      <c r="C30" s="515" t="s">
        <v>129</v>
      </c>
      <c r="D30" s="508">
        <v>10980.59</v>
      </c>
      <c r="E30" s="508">
        <v>988.25</v>
      </c>
      <c r="F30" s="516">
        <v>988.25</v>
      </c>
      <c r="G30" s="516">
        <v>12957.09</v>
      </c>
      <c r="I30" s="517"/>
    </row>
    <row r="31" spans="1:11" x14ac:dyDescent="0.2">
      <c r="A31" s="513">
        <v>1625</v>
      </c>
      <c r="B31" s="517">
        <v>43068</v>
      </c>
      <c r="C31" s="515" t="s">
        <v>129</v>
      </c>
      <c r="D31" s="508">
        <v>19458.240000000002</v>
      </c>
      <c r="E31" s="508">
        <v>1550.79</v>
      </c>
      <c r="F31" s="516">
        <v>1550.79</v>
      </c>
      <c r="G31" s="516">
        <v>22559.820000000003</v>
      </c>
      <c r="I31" s="517"/>
    </row>
    <row r="32" spans="1:11" x14ac:dyDescent="0.2">
      <c r="A32" s="513">
        <v>1626</v>
      </c>
      <c r="B32" s="517">
        <v>43069</v>
      </c>
      <c r="C32" s="515" t="s">
        <v>130</v>
      </c>
      <c r="D32" s="508">
        <v>3531.82</v>
      </c>
      <c r="E32" s="508">
        <v>211.91</v>
      </c>
      <c r="F32" s="516">
        <v>211.91</v>
      </c>
      <c r="G32" s="516">
        <v>3955.64</v>
      </c>
      <c r="I32" s="517"/>
    </row>
    <row r="33" spans="1:9" x14ac:dyDescent="0.2">
      <c r="A33" s="513">
        <v>1627</v>
      </c>
      <c r="B33" s="517">
        <v>43069</v>
      </c>
      <c r="C33" s="515" t="s">
        <v>133</v>
      </c>
      <c r="D33" s="508">
        <v>8690.31</v>
      </c>
      <c r="E33" s="508">
        <v>753.49</v>
      </c>
      <c r="F33" s="516">
        <v>753.49</v>
      </c>
      <c r="G33" s="516">
        <v>10197.289999999999</v>
      </c>
      <c r="I33" s="517"/>
    </row>
    <row r="34" spans="1:9" x14ac:dyDescent="0.2">
      <c r="A34" s="513">
        <v>1628</v>
      </c>
      <c r="B34" s="517">
        <v>43069</v>
      </c>
      <c r="C34" s="515" t="s">
        <v>140</v>
      </c>
      <c r="D34" s="508">
        <v>8137.5</v>
      </c>
      <c r="E34" s="508">
        <v>634.54999999999995</v>
      </c>
      <c r="F34" s="516">
        <v>634.54999999999995</v>
      </c>
      <c r="G34" s="516">
        <v>9406.5999999999985</v>
      </c>
      <c r="I34" s="517"/>
    </row>
    <row r="35" spans="1:9" x14ac:dyDescent="0.2">
      <c r="A35" s="513">
        <v>1629</v>
      </c>
      <c r="B35" s="517">
        <v>43069</v>
      </c>
      <c r="C35" s="515" t="s">
        <v>140</v>
      </c>
      <c r="D35" s="508">
        <v>8046.92</v>
      </c>
      <c r="E35" s="508">
        <v>724.22</v>
      </c>
      <c r="F35" s="516">
        <v>724.22</v>
      </c>
      <c r="G35" s="516">
        <v>9495.3599999999988</v>
      </c>
      <c r="I35" s="517"/>
    </row>
    <row r="36" spans="1:9" x14ac:dyDescent="0.2">
      <c r="A36" s="513">
        <v>1630</v>
      </c>
      <c r="B36" s="517">
        <v>43070</v>
      </c>
      <c r="C36" s="515" t="s">
        <v>140</v>
      </c>
      <c r="D36" s="508">
        <v>1153.22</v>
      </c>
      <c r="E36" s="508">
        <v>103.79</v>
      </c>
      <c r="F36" s="516">
        <v>103.79</v>
      </c>
      <c r="G36" s="516">
        <v>1360.8</v>
      </c>
      <c r="I36" s="517"/>
    </row>
    <row r="37" spans="1:9" x14ac:dyDescent="0.2">
      <c r="A37" s="513">
        <v>1631</v>
      </c>
      <c r="B37" s="517">
        <v>43071</v>
      </c>
      <c r="C37" s="515" t="s">
        <v>128</v>
      </c>
      <c r="D37" s="508">
        <v>12570.1</v>
      </c>
      <c r="E37" s="508">
        <v>1131.31</v>
      </c>
      <c r="F37" s="516">
        <v>1131.31</v>
      </c>
      <c r="G37" s="516">
        <v>14832.72</v>
      </c>
      <c r="I37" s="517"/>
    </row>
    <row r="38" spans="1:9" x14ac:dyDescent="0.2">
      <c r="A38" s="513">
        <v>1632</v>
      </c>
      <c r="B38" s="517">
        <v>43071</v>
      </c>
      <c r="C38" s="515" t="s">
        <v>130</v>
      </c>
      <c r="D38" s="508">
        <v>4993.0200000000004</v>
      </c>
      <c r="E38" s="508">
        <v>449.37</v>
      </c>
      <c r="F38" s="516">
        <v>449.37</v>
      </c>
      <c r="G38" s="516">
        <v>5891.76</v>
      </c>
      <c r="I38" s="517"/>
    </row>
    <row r="39" spans="1:9" x14ac:dyDescent="0.2">
      <c r="A39" s="513">
        <v>1633</v>
      </c>
      <c r="B39" s="517">
        <v>43072</v>
      </c>
      <c r="C39" s="515" t="s">
        <v>124</v>
      </c>
      <c r="D39" s="508">
        <v>30725.54</v>
      </c>
      <c r="E39" s="508">
        <v>2560.61</v>
      </c>
      <c r="F39" s="516">
        <v>2560.61</v>
      </c>
      <c r="G39" s="516">
        <v>35846.76</v>
      </c>
      <c r="I39" s="517"/>
    </row>
    <row r="40" spans="1:9" x14ac:dyDescent="0.2">
      <c r="A40" s="513">
        <v>1634</v>
      </c>
      <c r="B40" s="517">
        <v>43072</v>
      </c>
      <c r="C40" s="515" t="s">
        <v>129</v>
      </c>
      <c r="D40" s="508">
        <v>17415.05</v>
      </c>
      <c r="E40" s="508">
        <v>1567.35</v>
      </c>
      <c r="F40" s="516">
        <v>1567.35</v>
      </c>
      <c r="G40" s="516">
        <v>20549.749999999996</v>
      </c>
      <c r="I40" s="517"/>
    </row>
    <row r="41" spans="1:9" x14ac:dyDescent="0.2">
      <c r="A41" s="513">
        <v>1635</v>
      </c>
      <c r="B41" s="517">
        <v>43073</v>
      </c>
      <c r="C41" s="515" t="s">
        <v>130</v>
      </c>
      <c r="D41" s="508">
        <v>10196.719999999999</v>
      </c>
      <c r="E41" s="508">
        <v>917.71</v>
      </c>
      <c r="F41" s="516">
        <v>917.71</v>
      </c>
      <c r="G41" s="516">
        <v>12032.14</v>
      </c>
      <c r="I41" s="517"/>
    </row>
    <row r="42" spans="1:9" x14ac:dyDescent="0.2">
      <c r="A42" s="513">
        <v>1636</v>
      </c>
      <c r="B42" s="517">
        <v>43073</v>
      </c>
      <c r="C42" s="508" t="s">
        <v>136</v>
      </c>
      <c r="D42" s="508">
        <v>3772.6</v>
      </c>
      <c r="E42" s="508">
        <v>308.8</v>
      </c>
      <c r="F42" s="516">
        <v>308.8</v>
      </c>
      <c r="G42" s="516">
        <v>4390.2</v>
      </c>
      <c r="I42" s="517"/>
    </row>
    <row r="43" spans="1:9" x14ac:dyDescent="0.2">
      <c r="A43" s="513">
        <v>1637</v>
      </c>
      <c r="B43" s="517">
        <v>43074</v>
      </c>
      <c r="C43" s="515" t="s">
        <v>128</v>
      </c>
      <c r="D43" s="508">
        <v>12081.71</v>
      </c>
      <c r="E43" s="508">
        <v>1087.3499999999999</v>
      </c>
      <c r="F43" s="516">
        <v>1087.3499999999999</v>
      </c>
      <c r="G43" s="516">
        <v>14256.41</v>
      </c>
      <c r="I43" s="517"/>
    </row>
    <row r="44" spans="1:9" x14ac:dyDescent="0.2">
      <c r="A44" s="513">
        <v>1638</v>
      </c>
      <c r="B44" s="517">
        <v>43074</v>
      </c>
      <c r="C44" s="515" t="s">
        <v>128</v>
      </c>
      <c r="D44" s="508">
        <v>12981.56</v>
      </c>
      <c r="E44" s="508">
        <v>1168.3399999999999</v>
      </c>
      <c r="F44" s="516">
        <v>1168.3399999999999</v>
      </c>
      <c r="G44" s="516">
        <v>15318.24</v>
      </c>
      <c r="I44" s="517"/>
    </row>
    <row r="45" spans="1:9" x14ac:dyDescent="0.2">
      <c r="A45" s="513">
        <v>1639</v>
      </c>
      <c r="B45" s="517">
        <v>43074</v>
      </c>
      <c r="C45" s="515" t="s">
        <v>134</v>
      </c>
      <c r="D45" s="508">
        <v>3818.18</v>
      </c>
      <c r="E45" s="508">
        <v>229.09</v>
      </c>
      <c r="F45" s="516">
        <v>229.09</v>
      </c>
      <c r="G45" s="516">
        <v>4276.3599999999997</v>
      </c>
      <c r="I45" s="517"/>
    </row>
    <row r="46" spans="1:9" x14ac:dyDescent="0.2">
      <c r="A46" s="513">
        <v>1640</v>
      </c>
      <c r="B46" s="517">
        <v>43075</v>
      </c>
      <c r="C46" s="515" t="s">
        <v>124</v>
      </c>
      <c r="D46" s="508">
        <v>11515.12</v>
      </c>
      <c r="E46" s="508">
        <v>1036.3599999999999</v>
      </c>
      <c r="F46" s="516">
        <v>1036.3599999999999</v>
      </c>
      <c r="G46" s="516">
        <v>13587.840000000002</v>
      </c>
      <c r="I46" s="517"/>
    </row>
    <row r="47" spans="1:9" x14ac:dyDescent="0.2">
      <c r="A47" s="513">
        <v>1641</v>
      </c>
      <c r="B47" s="517">
        <v>43075</v>
      </c>
      <c r="C47" s="515" t="s">
        <v>125</v>
      </c>
      <c r="D47" s="508">
        <v>16942.73</v>
      </c>
      <c r="E47" s="508">
        <v>1365.98</v>
      </c>
      <c r="F47" s="516">
        <v>1365.98</v>
      </c>
      <c r="G47" s="516">
        <v>19674.689999999999</v>
      </c>
      <c r="I47" s="517"/>
    </row>
    <row r="48" spans="1:9" x14ac:dyDescent="0.2">
      <c r="A48" s="513">
        <v>1642</v>
      </c>
      <c r="B48" s="517">
        <v>43075</v>
      </c>
      <c r="C48" s="515" t="s">
        <v>125</v>
      </c>
      <c r="D48" s="508">
        <v>3893.9</v>
      </c>
      <c r="E48" s="508">
        <v>350.45</v>
      </c>
      <c r="F48" s="516">
        <v>350.45</v>
      </c>
      <c r="G48" s="516">
        <v>4594.8</v>
      </c>
      <c r="I48" s="517"/>
    </row>
    <row r="49" spans="1:9" x14ac:dyDescent="0.2">
      <c r="A49" s="513">
        <v>1643</v>
      </c>
      <c r="B49" s="517">
        <v>43075</v>
      </c>
      <c r="C49" s="515" t="s">
        <v>123</v>
      </c>
      <c r="D49" s="508">
        <v>2863.64</v>
      </c>
      <c r="E49" s="508">
        <v>171.82</v>
      </c>
      <c r="F49" s="516">
        <v>171.82</v>
      </c>
      <c r="G49" s="516">
        <v>3207.28</v>
      </c>
      <c r="I49" s="517"/>
    </row>
    <row r="50" spans="1:9" x14ac:dyDescent="0.2">
      <c r="A50" s="513">
        <v>1644</v>
      </c>
      <c r="B50" s="517">
        <v>43076</v>
      </c>
      <c r="C50" s="515" t="s">
        <v>130</v>
      </c>
      <c r="D50" s="508">
        <v>18001.310000000001</v>
      </c>
      <c r="E50" s="508">
        <v>1587.25</v>
      </c>
      <c r="F50" s="516">
        <v>1587.25</v>
      </c>
      <c r="G50" s="516">
        <v>21175.81</v>
      </c>
      <c r="I50" s="517"/>
    </row>
    <row r="51" spans="1:9" x14ac:dyDescent="0.2">
      <c r="A51" s="513">
        <v>1645</v>
      </c>
      <c r="B51" s="517">
        <v>43076</v>
      </c>
      <c r="C51" s="515" t="s">
        <v>131</v>
      </c>
      <c r="D51" s="508">
        <v>3818.18</v>
      </c>
      <c r="E51" s="508">
        <v>229.09</v>
      </c>
      <c r="F51" s="516">
        <v>229.09</v>
      </c>
      <c r="G51" s="516">
        <v>4276.3599999999997</v>
      </c>
      <c r="I51" s="517"/>
    </row>
    <row r="52" spans="1:9" x14ac:dyDescent="0.2">
      <c r="A52" s="513">
        <v>1646</v>
      </c>
      <c r="B52" s="517">
        <v>43077</v>
      </c>
      <c r="C52" s="515" t="s">
        <v>123</v>
      </c>
      <c r="D52" s="508">
        <v>4732.47</v>
      </c>
      <c r="E52" s="508">
        <v>425.92</v>
      </c>
      <c r="F52" s="516">
        <v>425.92</v>
      </c>
      <c r="G52" s="516">
        <v>5584.31</v>
      </c>
      <c r="I52" s="517"/>
    </row>
    <row r="53" spans="1:9" x14ac:dyDescent="0.2">
      <c r="A53" s="513">
        <v>1647</v>
      </c>
      <c r="B53" s="517">
        <v>43077</v>
      </c>
      <c r="C53" s="515" t="s">
        <v>123</v>
      </c>
      <c r="D53" s="508">
        <v>1912.21</v>
      </c>
      <c r="E53" s="508">
        <v>172.1</v>
      </c>
      <c r="F53" s="516">
        <v>172.1</v>
      </c>
      <c r="G53" s="516">
        <v>2256.41</v>
      </c>
      <c r="I53" s="517"/>
    </row>
    <row r="54" spans="1:9" x14ac:dyDescent="0.2">
      <c r="A54" s="513">
        <v>1648</v>
      </c>
      <c r="B54" s="517">
        <v>43077</v>
      </c>
      <c r="C54" s="508" t="s">
        <v>141</v>
      </c>
      <c r="D54" s="508">
        <v>7092.33</v>
      </c>
      <c r="E54" s="508">
        <v>610.36</v>
      </c>
      <c r="F54" s="516">
        <v>610.36</v>
      </c>
      <c r="G54" s="516">
        <v>8313.0499999999993</v>
      </c>
      <c r="I54" s="517"/>
    </row>
    <row r="55" spans="1:9" x14ac:dyDescent="0.2">
      <c r="A55" s="513">
        <v>1649</v>
      </c>
      <c r="B55" s="514">
        <v>43078</v>
      </c>
      <c r="C55" s="515" t="s">
        <v>128</v>
      </c>
      <c r="D55" s="516">
        <v>7333.63</v>
      </c>
      <c r="E55" s="516">
        <v>660.03</v>
      </c>
      <c r="F55" s="516">
        <v>660.03</v>
      </c>
      <c r="G55" s="516">
        <v>8653.69</v>
      </c>
      <c r="I55" s="514"/>
    </row>
    <row r="56" spans="1:9" x14ac:dyDescent="0.2">
      <c r="A56" s="513">
        <v>1650</v>
      </c>
      <c r="B56" s="514">
        <v>43078</v>
      </c>
      <c r="C56" s="515" t="s">
        <v>128</v>
      </c>
      <c r="D56" s="516">
        <v>1909.09</v>
      </c>
      <c r="E56" s="516">
        <v>114.55</v>
      </c>
      <c r="F56" s="516">
        <v>114.55</v>
      </c>
      <c r="G56" s="516">
        <v>2138.19</v>
      </c>
      <c r="I56" s="514"/>
    </row>
    <row r="57" spans="1:9" x14ac:dyDescent="0.2">
      <c r="A57" s="513">
        <v>1651</v>
      </c>
      <c r="B57" s="517">
        <v>43079</v>
      </c>
      <c r="C57" s="508" t="s">
        <v>129</v>
      </c>
      <c r="D57" s="508">
        <v>7333.62</v>
      </c>
      <c r="E57" s="508">
        <v>660.03</v>
      </c>
      <c r="F57" s="508">
        <v>660.03</v>
      </c>
      <c r="G57" s="508">
        <v>8653.68</v>
      </c>
      <c r="I57" s="517"/>
    </row>
    <row r="58" spans="1:9" x14ac:dyDescent="0.2">
      <c r="A58" s="513">
        <v>1652</v>
      </c>
      <c r="B58" s="514">
        <v>43079</v>
      </c>
      <c r="C58" s="515" t="s">
        <v>130</v>
      </c>
      <c r="D58" s="516">
        <v>6127.73</v>
      </c>
      <c r="E58" s="516">
        <v>551.5</v>
      </c>
      <c r="F58" s="516">
        <v>551.5</v>
      </c>
      <c r="G58" s="516">
        <v>7230.73</v>
      </c>
      <c r="I58" s="514"/>
    </row>
    <row r="59" spans="1:9" x14ac:dyDescent="0.2">
      <c r="A59" s="513">
        <v>1653</v>
      </c>
      <c r="B59" s="514">
        <v>43079</v>
      </c>
      <c r="C59" s="515" t="s">
        <v>132</v>
      </c>
      <c r="D59" s="516">
        <v>3818.2</v>
      </c>
      <c r="E59" s="516">
        <v>229.1</v>
      </c>
      <c r="F59" s="516">
        <v>229.1</v>
      </c>
      <c r="G59" s="516">
        <v>4276.3999999999996</v>
      </c>
      <c r="I59" s="514"/>
    </row>
    <row r="60" spans="1:9" x14ac:dyDescent="0.2">
      <c r="A60" s="513">
        <v>1654</v>
      </c>
      <c r="B60" s="514">
        <v>43079</v>
      </c>
      <c r="C60" s="515" t="s">
        <v>121</v>
      </c>
      <c r="D60" s="516">
        <v>3977.9</v>
      </c>
      <c r="E60" s="516">
        <v>358.01</v>
      </c>
      <c r="F60" s="516">
        <v>358.01</v>
      </c>
      <c r="G60" s="516">
        <v>4693.92</v>
      </c>
      <c r="I60" s="514"/>
    </row>
    <row r="61" spans="1:9" x14ac:dyDescent="0.2">
      <c r="A61" s="513">
        <v>1655</v>
      </c>
      <c r="B61" s="514">
        <v>43079</v>
      </c>
      <c r="C61" s="515" t="s">
        <v>121</v>
      </c>
      <c r="D61" s="516">
        <v>10203.59</v>
      </c>
      <c r="E61" s="516">
        <v>746.51</v>
      </c>
      <c r="F61" s="516">
        <v>746.51</v>
      </c>
      <c r="G61" s="516">
        <v>11696.61</v>
      </c>
      <c r="I61" s="514"/>
    </row>
    <row r="62" spans="1:9" x14ac:dyDescent="0.2">
      <c r="A62" s="513">
        <v>1656</v>
      </c>
      <c r="B62" s="514">
        <v>43079</v>
      </c>
      <c r="C62" s="515" t="s">
        <v>132</v>
      </c>
      <c r="D62" s="516">
        <v>2690.85</v>
      </c>
      <c r="E62" s="516">
        <v>242.18</v>
      </c>
      <c r="F62" s="516">
        <v>242.18</v>
      </c>
      <c r="G62" s="516">
        <v>3175.21</v>
      </c>
      <c r="I62" s="514"/>
    </row>
    <row r="63" spans="1:9" x14ac:dyDescent="0.2">
      <c r="A63" s="513">
        <v>1657</v>
      </c>
      <c r="B63" s="514">
        <v>43080</v>
      </c>
      <c r="C63" s="515" t="s">
        <v>137</v>
      </c>
      <c r="D63" s="516">
        <v>2981.37</v>
      </c>
      <c r="E63" s="516">
        <v>178.88</v>
      </c>
      <c r="F63" s="516">
        <v>178.88</v>
      </c>
      <c r="G63" s="516">
        <v>3339.13</v>
      </c>
      <c r="I63" s="514"/>
    </row>
    <row r="64" spans="1:9" x14ac:dyDescent="0.2">
      <c r="A64" s="513">
        <v>1658</v>
      </c>
      <c r="B64" s="514">
        <v>43080</v>
      </c>
      <c r="C64" s="515" t="s">
        <v>128</v>
      </c>
      <c r="D64" s="516">
        <v>10062.92</v>
      </c>
      <c r="E64" s="516">
        <v>905.66</v>
      </c>
      <c r="F64" s="516">
        <v>905.66</v>
      </c>
      <c r="G64" s="516">
        <v>11874.24</v>
      </c>
      <c r="I64" s="514"/>
    </row>
    <row r="65" spans="1:9" x14ac:dyDescent="0.2">
      <c r="A65" s="513">
        <v>1659</v>
      </c>
      <c r="B65" s="514">
        <v>43080</v>
      </c>
      <c r="C65" s="515" t="s">
        <v>142</v>
      </c>
      <c r="D65" s="516">
        <v>1453.44</v>
      </c>
      <c r="E65" s="516">
        <v>130.81</v>
      </c>
      <c r="F65" s="516">
        <v>130.81</v>
      </c>
      <c r="G65" s="516">
        <v>1715.06</v>
      </c>
      <c r="I65" s="514"/>
    </row>
    <row r="66" spans="1:9" x14ac:dyDescent="0.2">
      <c r="A66" s="513">
        <v>1660</v>
      </c>
      <c r="B66" s="514">
        <v>43082</v>
      </c>
      <c r="C66" s="515" t="s">
        <v>130</v>
      </c>
      <c r="D66" s="516">
        <v>7732.98</v>
      </c>
      <c r="E66" s="516">
        <v>695.97</v>
      </c>
      <c r="F66" s="516">
        <v>695.97</v>
      </c>
      <c r="G66" s="516">
        <v>9124.92</v>
      </c>
    </row>
    <row r="67" spans="1:9" x14ac:dyDescent="0.2">
      <c r="A67" s="513">
        <v>1661</v>
      </c>
      <c r="B67" s="514">
        <v>43082</v>
      </c>
      <c r="C67" s="515" t="s">
        <v>129</v>
      </c>
      <c r="D67" s="516">
        <v>4057.62</v>
      </c>
      <c r="E67" s="516">
        <v>365.19</v>
      </c>
      <c r="F67" s="516">
        <v>365.19</v>
      </c>
      <c r="G67" s="516">
        <v>4788</v>
      </c>
    </row>
    <row r="68" spans="1:9" x14ac:dyDescent="0.2">
      <c r="A68" s="513">
        <v>1662</v>
      </c>
      <c r="B68" s="514">
        <v>43082</v>
      </c>
      <c r="C68" s="515" t="s">
        <v>131</v>
      </c>
      <c r="D68" s="516">
        <v>8920.9699999999993</v>
      </c>
      <c r="E68" s="516">
        <v>786.46</v>
      </c>
      <c r="F68" s="516">
        <v>786.46</v>
      </c>
      <c r="G68" s="516">
        <v>10493.89</v>
      </c>
    </row>
    <row r="69" spans="1:9" x14ac:dyDescent="0.2">
      <c r="A69" s="513">
        <v>1663</v>
      </c>
      <c r="B69" s="514">
        <v>43082</v>
      </c>
      <c r="C69" s="515" t="s">
        <v>131</v>
      </c>
      <c r="D69" s="516">
        <v>3627.66</v>
      </c>
      <c r="E69" s="516">
        <v>326.49</v>
      </c>
      <c r="F69" s="516">
        <v>326.49</v>
      </c>
      <c r="G69" s="516">
        <v>4280.6400000000003</v>
      </c>
    </row>
    <row r="70" spans="1:9" x14ac:dyDescent="0.2">
      <c r="A70" s="513">
        <v>1664</v>
      </c>
      <c r="B70" s="514">
        <v>43083</v>
      </c>
      <c r="C70" s="515" t="s">
        <v>125</v>
      </c>
      <c r="D70" s="516">
        <v>6204.56</v>
      </c>
      <c r="E70" s="516">
        <v>372.28</v>
      </c>
      <c r="F70" s="516">
        <v>372.28</v>
      </c>
      <c r="G70" s="516">
        <v>6949.12</v>
      </c>
    </row>
    <row r="71" spans="1:9" x14ac:dyDescent="0.2">
      <c r="A71" s="513">
        <v>1665</v>
      </c>
      <c r="B71" s="514">
        <v>43083</v>
      </c>
      <c r="C71" s="515" t="s">
        <v>125</v>
      </c>
      <c r="D71" s="516">
        <v>2221.02</v>
      </c>
      <c r="E71" s="516">
        <v>199.89</v>
      </c>
      <c r="F71" s="516">
        <v>199.89</v>
      </c>
      <c r="G71" s="516">
        <v>2620.8000000000002</v>
      </c>
    </row>
    <row r="72" spans="1:9" x14ac:dyDescent="0.2">
      <c r="A72" s="513">
        <v>1666</v>
      </c>
      <c r="B72" s="514">
        <v>43083</v>
      </c>
      <c r="C72" s="515" t="s">
        <v>124</v>
      </c>
      <c r="D72" s="516">
        <v>4581.83</v>
      </c>
      <c r="E72" s="516">
        <v>274.92</v>
      </c>
      <c r="F72" s="516">
        <v>274.92</v>
      </c>
      <c r="G72" s="516">
        <v>5131.67</v>
      </c>
    </row>
    <row r="73" spans="1:9" x14ac:dyDescent="0.2">
      <c r="A73" s="513">
        <v>1667</v>
      </c>
      <c r="B73" s="514">
        <v>43083</v>
      </c>
      <c r="C73" s="515" t="s">
        <v>128</v>
      </c>
      <c r="D73" s="516">
        <v>5826.11</v>
      </c>
      <c r="E73" s="516">
        <v>495.59</v>
      </c>
      <c r="F73" s="516">
        <v>495.59</v>
      </c>
      <c r="G73" s="516">
        <v>6817.29</v>
      </c>
    </row>
    <row r="74" spans="1:9" x14ac:dyDescent="0.2">
      <c r="A74" s="513">
        <v>1668</v>
      </c>
      <c r="B74" s="514">
        <v>43084</v>
      </c>
      <c r="C74" s="515" t="s">
        <v>132</v>
      </c>
      <c r="D74" s="516">
        <v>7268.56</v>
      </c>
      <c r="E74" s="516">
        <v>654.16999999999996</v>
      </c>
      <c r="F74" s="516">
        <v>654.16999999999996</v>
      </c>
      <c r="G74" s="516">
        <v>8576.9</v>
      </c>
    </row>
    <row r="75" spans="1:9" x14ac:dyDescent="0.2">
      <c r="A75" s="513">
        <v>1669</v>
      </c>
      <c r="B75" s="514">
        <v>43084</v>
      </c>
      <c r="C75" s="515" t="s">
        <v>134</v>
      </c>
      <c r="D75" s="516">
        <v>3780.96</v>
      </c>
      <c r="E75" s="516">
        <v>340.28</v>
      </c>
      <c r="F75" s="516">
        <v>340.28</v>
      </c>
      <c r="G75" s="516">
        <v>4461.5200000000004</v>
      </c>
    </row>
    <row r="76" spans="1:9" x14ac:dyDescent="0.2">
      <c r="A76" s="513">
        <v>1670</v>
      </c>
      <c r="B76" s="514">
        <v>43085</v>
      </c>
      <c r="C76" s="515" t="s">
        <v>128</v>
      </c>
      <c r="D76" s="516">
        <v>5965.42</v>
      </c>
      <c r="E76" s="516">
        <v>536.89</v>
      </c>
      <c r="F76" s="516">
        <v>536.89</v>
      </c>
      <c r="G76" s="516">
        <v>7039.2</v>
      </c>
    </row>
    <row r="77" spans="1:9" x14ac:dyDescent="0.2">
      <c r="A77" s="513">
        <v>1671</v>
      </c>
      <c r="B77" s="514">
        <v>43088</v>
      </c>
      <c r="C77" s="515" t="s">
        <v>128</v>
      </c>
      <c r="D77" s="516">
        <v>8422.7849999999999</v>
      </c>
      <c r="E77" s="516">
        <v>758.05065000000002</v>
      </c>
      <c r="F77" s="516">
        <v>758.05065000000002</v>
      </c>
      <c r="G77" s="516">
        <v>9938.8863000000001</v>
      </c>
    </row>
    <row r="78" spans="1:9" x14ac:dyDescent="0.2">
      <c r="A78" s="513">
        <v>1672</v>
      </c>
      <c r="B78" s="514">
        <v>43088</v>
      </c>
      <c r="C78" s="515" t="s">
        <v>130</v>
      </c>
      <c r="D78" s="516">
        <v>9311.1939999999995</v>
      </c>
      <c r="E78" s="516">
        <v>838.00746000000004</v>
      </c>
      <c r="F78" s="516">
        <v>838.00746000000004</v>
      </c>
      <c r="G78" s="516">
        <v>10987.208919999999</v>
      </c>
    </row>
    <row r="79" spans="1:9" x14ac:dyDescent="0.2">
      <c r="A79" s="513">
        <v>1673</v>
      </c>
      <c r="B79" s="514">
        <v>43088</v>
      </c>
      <c r="C79" s="515" t="s">
        <v>129</v>
      </c>
      <c r="D79" s="516">
        <v>12638.444</v>
      </c>
      <c r="E79" s="516">
        <v>1137.4599599999999</v>
      </c>
      <c r="F79" s="516">
        <v>1137.4599599999999</v>
      </c>
      <c r="G79" s="516">
        <v>14913.36392</v>
      </c>
    </row>
    <row r="80" spans="1:9" x14ac:dyDescent="0.2">
      <c r="A80" s="513">
        <v>1674</v>
      </c>
      <c r="B80" s="514">
        <v>43089</v>
      </c>
      <c r="C80" s="515" t="s">
        <v>123</v>
      </c>
      <c r="D80" s="516">
        <v>22205.318800000001</v>
      </c>
      <c r="E80" s="516">
        <v>1703.9245900000001</v>
      </c>
      <c r="F80" s="516">
        <v>1703.9245900000001</v>
      </c>
      <c r="G80" s="516">
        <v>25613.167979999998</v>
      </c>
    </row>
    <row r="81" spans="1:7" x14ac:dyDescent="0.2">
      <c r="A81" s="513">
        <v>1675</v>
      </c>
      <c r="B81" s="514">
        <v>43089</v>
      </c>
      <c r="C81" s="515" t="s">
        <v>123</v>
      </c>
      <c r="D81" s="516">
        <v>9170.2520000000004</v>
      </c>
      <c r="E81" s="516">
        <v>825.32267999999999</v>
      </c>
      <c r="F81" s="516">
        <v>825.32267999999999</v>
      </c>
      <c r="G81" s="516">
        <v>10820.897360000001</v>
      </c>
    </row>
    <row r="82" spans="1:7" x14ac:dyDescent="0.2">
      <c r="A82" s="513">
        <v>1676</v>
      </c>
      <c r="B82" s="514">
        <v>43089</v>
      </c>
      <c r="C82" s="515" t="s">
        <v>122</v>
      </c>
      <c r="D82" s="516">
        <v>10560.5124</v>
      </c>
      <c r="E82" s="516">
        <v>808.01092000000006</v>
      </c>
      <c r="F82" s="516">
        <v>808.01092000000006</v>
      </c>
      <c r="G82" s="516">
        <v>12176.534240000001</v>
      </c>
    </row>
    <row r="83" spans="1:7" x14ac:dyDescent="0.2">
      <c r="A83" s="513">
        <v>1677</v>
      </c>
      <c r="B83" s="514">
        <v>43090</v>
      </c>
      <c r="C83" s="515" t="s">
        <v>128</v>
      </c>
      <c r="D83" s="516">
        <v>7679.3887999999997</v>
      </c>
      <c r="E83" s="516">
        <v>638.39098999999999</v>
      </c>
      <c r="F83" s="516">
        <v>638.39098999999999</v>
      </c>
      <c r="G83" s="516">
        <v>8956.1707800000004</v>
      </c>
    </row>
    <row r="84" spans="1:7" x14ac:dyDescent="0.2">
      <c r="A84" s="513">
        <v>1678</v>
      </c>
      <c r="B84" s="514">
        <v>43090</v>
      </c>
      <c r="C84" s="515" t="s">
        <v>130</v>
      </c>
      <c r="D84" s="516">
        <v>5866.7274399999997</v>
      </c>
      <c r="E84" s="516">
        <v>430.64175</v>
      </c>
      <c r="F84" s="516">
        <v>430.64175</v>
      </c>
      <c r="G84" s="516">
        <v>6728.0109400000001</v>
      </c>
    </row>
    <row r="85" spans="1:7" x14ac:dyDescent="0.2">
      <c r="A85" s="513">
        <v>1679</v>
      </c>
      <c r="B85" s="514">
        <v>43091</v>
      </c>
      <c r="C85" s="515" t="s">
        <v>132</v>
      </c>
      <c r="D85" s="516">
        <v>5817.3534</v>
      </c>
      <c r="E85" s="516">
        <v>523.56181000000004</v>
      </c>
      <c r="F85" s="516">
        <v>523.56181000000004</v>
      </c>
      <c r="G85" s="516">
        <v>6864.4770200000003</v>
      </c>
    </row>
    <row r="86" spans="1:7" x14ac:dyDescent="0.2">
      <c r="A86" s="513">
        <v>1680</v>
      </c>
      <c r="B86" s="514">
        <v>43091</v>
      </c>
      <c r="C86" s="515" t="s">
        <v>132</v>
      </c>
      <c r="D86" s="516">
        <v>1293.1063999999999</v>
      </c>
      <c r="E86" s="516">
        <v>116.37958</v>
      </c>
      <c r="F86" s="516">
        <v>116.37958</v>
      </c>
      <c r="G86" s="516">
        <v>1525.86556</v>
      </c>
    </row>
    <row r="87" spans="1:7" x14ac:dyDescent="0.2">
      <c r="A87" s="513">
        <v>1681</v>
      </c>
      <c r="B87" s="514">
        <v>43095</v>
      </c>
      <c r="C87" s="515" t="s">
        <v>133</v>
      </c>
      <c r="D87" s="516">
        <v>8459.9344000000001</v>
      </c>
      <c r="E87" s="516">
        <v>761.39409999999998</v>
      </c>
      <c r="F87" s="516">
        <v>761.39409999999998</v>
      </c>
      <c r="G87" s="516">
        <v>9982.7225999999991</v>
      </c>
    </row>
    <row r="88" spans="1:7" x14ac:dyDescent="0.2">
      <c r="A88" s="513">
        <v>1682</v>
      </c>
      <c r="B88" s="514">
        <v>43095</v>
      </c>
      <c r="C88" s="515" t="s">
        <v>133</v>
      </c>
      <c r="D88" s="516">
        <v>10166.3588</v>
      </c>
      <c r="E88" s="516">
        <v>857.69958999999994</v>
      </c>
      <c r="F88" s="516">
        <v>857.69958999999994</v>
      </c>
      <c r="G88" s="516">
        <v>11881.75798</v>
      </c>
    </row>
    <row r="89" spans="1:7" x14ac:dyDescent="0.2">
      <c r="A89" s="513">
        <v>1683</v>
      </c>
      <c r="B89" s="514">
        <v>43095</v>
      </c>
      <c r="C89" s="515" t="s">
        <v>147</v>
      </c>
      <c r="D89" s="516">
        <v>7428.1463999999996</v>
      </c>
      <c r="E89" s="516">
        <v>668.53318000000002</v>
      </c>
      <c r="F89" s="516">
        <v>668.53318000000002</v>
      </c>
      <c r="G89" s="516">
        <v>8765.2127600000003</v>
      </c>
    </row>
    <row r="90" spans="1:7" x14ac:dyDescent="0.2">
      <c r="A90" s="513">
        <v>1684</v>
      </c>
      <c r="B90" s="514">
        <v>43095</v>
      </c>
      <c r="C90" s="515" t="s">
        <v>125</v>
      </c>
      <c r="D90" s="516">
        <v>9794.5727999999999</v>
      </c>
      <c r="E90" s="516">
        <v>649.47825</v>
      </c>
      <c r="F90" s="516">
        <v>649.47825</v>
      </c>
      <c r="G90" s="516">
        <v>11093.5293</v>
      </c>
    </row>
    <row r="91" spans="1:7" x14ac:dyDescent="0.2">
      <c r="A91" s="513">
        <v>1685</v>
      </c>
      <c r="B91" s="514">
        <v>43095</v>
      </c>
      <c r="C91" s="515" t="s">
        <v>124</v>
      </c>
      <c r="D91" s="516">
        <v>8704.1209600000002</v>
      </c>
      <c r="E91" s="516">
        <v>625.87085999999999</v>
      </c>
      <c r="F91" s="516">
        <v>625.87085999999999</v>
      </c>
      <c r="G91" s="516">
        <v>9955.8626800000002</v>
      </c>
    </row>
    <row r="92" spans="1:7" x14ac:dyDescent="0.2">
      <c r="A92" s="513">
        <v>1686</v>
      </c>
      <c r="B92" s="514">
        <v>43095</v>
      </c>
      <c r="C92" s="515" t="s">
        <v>124</v>
      </c>
      <c r="D92" s="516">
        <v>15619.733399999999</v>
      </c>
      <c r="E92" s="516">
        <v>1405.77601</v>
      </c>
      <c r="F92" s="516">
        <v>1405.77601</v>
      </c>
      <c r="G92" s="516">
        <v>18431.28542</v>
      </c>
    </row>
    <row r="93" spans="1:7" x14ac:dyDescent="0.2">
      <c r="A93" s="513">
        <v>1687</v>
      </c>
      <c r="B93" s="514">
        <v>43097</v>
      </c>
      <c r="C93" s="515" t="s">
        <v>126</v>
      </c>
      <c r="D93" s="516">
        <v>12944.652</v>
      </c>
      <c r="E93" s="516">
        <v>1050.473</v>
      </c>
      <c r="F93" s="516">
        <v>1050.473</v>
      </c>
      <c r="G93" s="516">
        <v>15045.598</v>
      </c>
    </row>
    <row r="94" spans="1:7" x14ac:dyDescent="0.2">
      <c r="A94" s="513">
        <v>1688</v>
      </c>
      <c r="B94" s="514">
        <v>43097</v>
      </c>
      <c r="C94" s="515" t="s">
        <v>138</v>
      </c>
      <c r="D94" s="516">
        <v>9019.9009999999998</v>
      </c>
      <c r="E94" s="516">
        <v>811.79200000000003</v>
      </c>
      <c r="F94" s="516">
        <v>811.79200000000003</v>
      </c>
      <c r="G94" s="516">
        <v>10643.485000000001</v>
      </c>
    </row>
    <row r="95" spans="1:7" x14ac:dyDescent="0.2">
      <c r="A95" s="513">
        <v>1689</v>
      </c>
      <c r="B95" s="514">
        <v>43097</v>
      </c>
      <c r="C95" s="515" t="s">
        <v>125</v>
      </c>
      <c r="D95" s="516">
        <v>14727.052</v>
      </c>
      <c r="E95" s="516">
        <v>1325.4349999999999</v>
      </c>
      <c r="F95" s="516">
        <v>1325.4349999999999</v>
      </c>
      <c r="G95" s="516">
        <v>17377.921999999999</v>
      </c>
    </row>
    <row r="96" spans="1:7" x14ac:dyDescent="0.2">
      <c r="A96" s="513">
        <v>1690</v>
      </c>
      <c r="B96" s="514">
        <v>43097</v>
      </c>
      <c r="C96" s="515" t="s">
        <v>126</v>
      </c>
      <c r="D96" s="516">
        <v>9648.6110000000008</v>
      </c>
      <c r="E96" s="516">
        <v>868.37599999999998</v>
      </c>
      <c r="F96" s="516">
        <v>868.37599999999998</v>
      </c>
      <c r="G96" s="516">
        <v>11385.362999999999</v>
      </c>
    </row>
    <row r="97" spans="1:7" x14ac:dyDescent="0.2">
      <c r="A97" s="513">
        <v>1691</v>
      </c>
      <c r="B97" s="514">
        <v>43097</v>
      </c>
      <c r="C97" s="515" t="s">
        <v>104</v>
      </c>
      <c r="D97" s="516">
        <v>1377.96</v>
      </c>
      <c r="E97" s="516">
        <v>124.02</v>
      </c>
      <c r="F97" s="516">
        <v>124.02</v>
      </c>
      <c r="G97" s="516">
        <v>1626</v>
      </c>
    </row>
    <row r="98" spans="1:7" x14ac:dyDescent="0.2">
      <c r="A98" s="513">
        <v>1692</v>
      </c>
      <c r="B98" s="514">
        <v>43097</v>
      </c>
      <c r="C98" s="515" t="s">
        <v>132</v>
      </c>
      <c r="D98" s="516">
        <v>5112.6109999999999</v>
      </c>
      <c r="E98" s="516">
        <v>460.13600000000002</v>
      </c>
      <c r="F98" s="516">
        <v>460.13600000000002</v>
      </c>
      <c r="G98" s="516">
        <v>6032.8829999999998</v>
      </c>
    </row>
    <row r="99" spans="1:7" x14ac:dyDescent="0.2">
      <c r="A99" s="513">
        <v>1693</v>
      </c>
      <c r="B99" s="514">
        <v>43098</v>
      </c>
      <c r="C99" s="515" t="s">
        <v>129</v>
      </c>
      <c r="D99" s="516">
        <v>13017.297</v>
      </c>
      <c r="E99" s="516">
        <v>1171.557</v>
      </c>
      <c r="F99" s="516">
        <v>1171.557</v>
      </c>
      <c r="G99" s="516">
        <v>15360.411</v>
      </c>
    </row>
    <row r="100" spans="1:7" x14ac:dyDescent="0.2">
      <c r="A100" s="513">
        <v>1694</v>
      </c>
      <c r="B100" s="514">
        <v>43098</v>
      </c>
      <c r="C100" s="515" t="s">
        <v>132</v>
      </c>
      <c r="D100" s="516">
        <v>19118.990000000002</v>
      </c>
      <c r="E100" s="516">
        <v>1663.43</v>
      </c>
      <c r="F100" s="516">
        <v>1663.43</v>
      </c>
      <c r="G100" s="516">
        <v>22445.86</v>
      </c>
    </row>
    <row r="101" spans="1:7" x14ac:dyDescent="0.2">
      <c r="A101" s="513">
        <v>1695</v>
      </c>
      <c r="B101" s="514">
        <v>43098</v>
      </c>
      <c r="C101" s="515" t="s">
        <v>129</v>
      </c>
      <c r="D101" s="516">
        <v>29999.49</v>
      </c>
      <c r="E101" s="516">
        <v>2405.29</v>
      </c>
      <c r="F101" s="516">
        <v>2405.29</v>
      </c>
      <c r="G101" s="516">
        <v>34810.06</v>
      </c>
    </row>
    <row r="102" spans="1:7" x14ac:dyDescent="0.2">
      <c r="A102" s="513">
        <v>1696</v>
      </c>
      <c r="B102" s="514">
        <v>43099</v>
      </c>
      <c r="C102" s="515" t="s">
        <v>128</v>
      </c>
      <c r="D102" s="516">
        <v>19720.916000000001</v>
      </c>
      <c r="E102" s="516">
        <v>1774.883</v>
      </c>
      <c r="F102" s="516">
        <v>1774.883</v>
      </c>
      <c r="G102" s="516">
        <v>23270.682000000001</v>
      </c>
    </row>
    <row r="103" spans="1:7" x14ac:dyDescent="0.2">
      <c r="A103" s="513">
        <v>1697</v>
      </c>
      <c r="B103" s="514">
        <v>43099</v>
      </c>
      <c r="C103" s="515" t="s">
        <v>130</v>
      </c>
      <c r="D103" s="516">
        <v>17263.491999999998</v>
      </c>
      <c r="E103" s="516">
        <v>1553.7149999999999</v>
      </c>
      <c r="F103" s="516">
        <v>1553.7149999999999</v>
      </c>
      <c r="G103" s="516">
        <v>20370.921999999999</v>
      </c>
    </row>
    <row r="104" spans="1:7" x14ac:dyDescent="0.2">
      <c r="A104" s="513">
        <v>1698</v>
      </c>
      <c r="B104" s="514">
        <v>43099</v>
      </c>
      <c r="C104" s="515" t="s">
        <v>128</v>
      </c>
      <c r="D104" s="516">
        <v>22164.481</v>
      </c>
      <c r="E104" s="516">
        <v>1865.94</v>
      </c>
      <c r="F104" s="516">
        <v>1865.94</v>
      </c>
      <c r="G104" s="516">
        <v>25896.361000000001</v>
      </c>
    </row>
    <row r="105" spans="1:7" x14ac:dyDescent="0.2">
      <c r="A105" s="513">
        <v>1699</v>
      </c>
      <c r="B105" s="514">
        <v>43103</v>
      </c>
      <c r="C105" s="515" t="s">
        <v>130</v>
      </c>
      <c r="D105" s="516">
        <v>6393.9669999999996</v>
      </c>
      <c r="E105" s="516">
        <v>575.45799999999997</v>
      </c>
      <c r="F105" s="516">
        <v>575.45799999999997</v>
      </c>
      <c r="G105" s="516">
        <v>7544.8829999999998</v>
      </c>
    </row>
    <row r="106" spans="1:7" x14ac:dyDescent="0.2">
      <c r="A106" s="513">
        <v>1700</v>
      </c>
      <c r="B106" s="514">
        <v>43104</v>
      </c>
      <c r="C106" s="515" t="s">
        <v>132</v>
      </c>
      <c r="D106" s="516">
        <v>3758.645</v>
      </c>
      <c r="E106" s="516">
        <v>338.27800000000002</v>
      </c>
      <c r="F106" s="516">
        <v>338.27800000000002</v>
      </c>
      <c r="G106" s="516">
        <v>4435.201</v>
      </c>
    </row>
    <row r="107" spans="1:7" x14ac:dyDescent="0.2">
      <c r="A107" s="513">
        <v>1701</v>
      </c>
      <c r="B107" s="514">
        <v>43104</v>
      </c>
      <c r="C107" s="515" t="s">
        <v>129</v>
      </c>
      <c r="D107" s="516">
        <v>12104.544</v>
      </c>
      <c r="E107" s="516">
        <v>1089.4090000000001</v>
      </c>
      <c r="F107" s="516">
        <v>1089.4090000000001</v>
      </c>
      <c r="G107" s="516">
        <v>14283.361999999999</v>
      </c>
    </row>
    <row r="108" spans="1:7" x14ac:dyDescent="0.2">
      <c r="A108" s="513">
        <v>1702</v>
      </c>
      <c r="B108" s="514">
        <v>43104</v>
      </c>
      <c r="C108" s="515" t="s">
        <v>134</v>
      </c>
      <c r="D108" s="516">
        <v>4476.3119999999999</v>
      </c>
      <c r="E108" s="516">
        <v>402.86799999999999</v>
      </c>
      <c r="F108" s="516">
        <v>402.86799999999999</v>
      </c>
      <c r="G108" s="516">
        <v>5282.0479999999998</v>
      </c>
    </row>
    <row r="109" spans="1:7" x14ac:dyDescent="0.2">
      <c r="A109" s="513">
        <v>1703</v>
      </c>
      <c r="B109" s="514">
        <v>43106</v>
      </c>
      <c r="C109" s="515" t="s">
        <v>124</v>
      </c>
      <c r="D109" s="516">
        <v>18899.383999999998</v>
      </c>
      <c r="E109" s="516">
        <v>1655.4760000000001</v>
      </c>
      <c r="F109" s="516">
        <v>1655.4760000000001</v>
      </c>
      <c r="G109" s="516">
        <v>22210.335999999999</v>
      </c>
    </row>
    <row r="110" spans="1:7" x14ac:dyDescent="0.2">
      <c r="A110" s="513">
        <v>1704</v>
      </c>
      <c r="B110" s="514">
        <v>43106</v>
      </c>
      <c r="C110" s="515" t="s">
        <v>125</v>
      </c>
      <c r="D110" s="516">
        <v>13733.148999999999</v>
      </c>
      <c r="E110" s="516">
        <v>1235.9839999999999</v>
      </c>
      <c r="F110" s="516">
        <v>1235.9839999999999</v>
      </c>
      <c r="G110" s="516">
        <v>16205.117</v>
      </c>
    </row>
    <row r="111" spans="1:7" x14ac:dyDescent="0.2">
      <c r="A111" s="513">
        <v>1705</v>
      </c>
      <c r="B111" s="514">
        <v>43106</v>
      </c>
      <c r="C111" s="515" t="s">
        <v>129</v>
      </c>
      <c r="D111" s="516">
        <v>7248.2049999999999</v>
      </c>
      <c r="E111" s="516">
        <v>652.33900000000006</v>
      </c>
      <c r="F111" s="516">
        <v>652.33900000000006</v>
      </c>
      <c r="G111" s="516">
        <v>8552.8829999999998</v>
      </c>
    </row>
    <row r="112" spans="1:7" x14ac:dyDescent="0.2">
      <c r="A112" s="513">
        <v>1706</v>
      </c>
      <c r="B112" s="514">
        <v>43106</v>
      </c>
      <c r="C112" s="515" t="s">
        <v>128</v>
      </c>
      <c r="D112" s="516">
        <v>12066.102999999999</v>
      </c>
      <c r="E112" s="516">
        <v>1085.95</v>
      </c>
      <c r="F112" s="516">
        <v>1085.95</v>
      </c>
      <c r="G112" s="516">
        <v>14238.003000000001</v>
      </c>
    </row>
    <row r="113" spans="1:7" x14ac:dyDescent="0.2">
      <c r="A113" s="513">
        <v>1707</v>
      </c>
      <c r="B113" s="514">
        <v>43106</v>
      </c>
      <c r="C113" s="515" t="s">
        <v>121</v>
      </c>
      <c r="D113" s="516">
        <v>1409.492</v>
      </c>
      <c r="E113" s="516">
        <v>126.855</v>
      </c>
      <c r="F113" s="516">
        <v>126.855</v>
      </c>
      <c r="G113" s="516">
        <v>1663.202</v>
      </c>
    </row>
    <row r="114" spans="1:7" x14ac:dyDescent="0.2">
      <c r="A114" s="513">
        <v>1708</v>
      </c>
      <c r="B114" s="514">
        <v>43106</v>
      </c>
      <c r="C114" s="515" t="s">
        <v>130</v>
      </c>
      <c r="D114" s="516">
        <v>11386.983</v>
      </c>
      <c r="E114" s="516">
        <v>1024.829</v>
      </c>
      <c r="F114" s="516">
        <v>1024.829</v>
      </c>
      <c r="G114" s="516">
        <v>13436.641</v>
      </c>
    </row>
    <row r="115" spans="1:7" x14ac:dyDescent="0.2">
      <c r="A115" s="513">
        <v>1709</v>
      </c>
      <c r="B115" s="514">
        <v>43106</v>
      </c>
      <c r="C115" s="515" t="s">
        <v>130</v>
      </c>
      <c r="D115" s="516">
        <v>12950.884</v>
      </c>
      <c r="E115" s="516">
        <v>1165.58</v>
      </c>
      <c r="F115" s="516">
        <v>1165.58</v>
      </c>
      <c r="G115" s="516">
        <v>15282.044</v>
      </c>
    </row>
    <row r="116" spans="1:7" x14ac:dyDescent="0.2">
      <c r="A116" s="513">
        <v>1710</v>
      </c>
      <c r="B116" s="514">
        <v>43108</v>
      </c>
      <c r="C116" s="515" t="s">
        <v>126</v>
      </c>
      <c r="D116" s="516">
        <v>6825.36</v>
      </c>
      <c r="E116" s="516">
        <v>614.28</v>
      </c>
      <c r="F116" s="516">
        <v>614.28</v>
      </c>
      <c r="G116" s="516">
        <v>8053.92</v>
      </c>
    </row>
    <row r="117" spans="1:7" x14ac:dyDescent="0.2">
      <c r="A117" s="513">
        <v>1711</v>
      </c>
      <c r="B117" s="514">
        <v>43108</v>
      </c>
      <c r="C117" s="515" t="s">
        <v>126</v>
      </c>
      <c r="D117" s="516">
        <v>10299.858</v>
      </c>
      <c r="E117" s="516">
        <v>926.98699999999997</v>
      </c>
      <c r="F117" s="516">
        <v>926.98699999999997</v>
      </c>
      <c r="G117" s="516">
        <v>12153.832</v>
      </c>
    </row>
    <row r="118" spans="1:7" x14ac:dyDescent="0.2">
      <c r="A118" s="513">
        <v>1712</v>
      </c>
      <c r="B118" s="514">
        <v>43108</v>
      </c>
      <c r="C118" s="515" t="s">
        <v>124</v>
      </c>
      <c r="D118" s="516">
        <v>15713.834999999999</v>
      </c>
      <c r="E118" s="516">
        <v>1414.2449999999999</v>
      </c>
      <c r="F118" s="516">
        <v>1414.2449999999999</v>
      </c>
      <c r="G118" s="516">
        <v>18542.325000000001</v>
      </c>
    </row>
    <row r="119" spans="1:7" x14ac:dyDescent="0.2">
      <c r="A119" s="513">
        <v>1713</v>
      </c>
      <c r="B119" s="514">
        <v>43108</v>
      </c>
      <c r="C119" s="515" t="s">
        <v>125</v>
      </c>
      <c r="D119" s="516">
        <v>6808.2709999999997</v>
      </c>
      <c r="E119" s="516">
        <v>612.745</v>
      </c>
      <c r="F119" s="516">
        <v>612.745</v>
      </c>
      <c r="G119" s="516">
        <v>8033.7610000000004</v>
      </c>
    </row>
    <row r="120" spans="1:7" x14ac:dyDescent="0.2">
      <c r="A120" s="513">
        <v>1714</v>
      </c>
      <c r="B120" s="514">
        <v>43109</v>
      </c>
      <c r="C120" s="515" t="s">
        <v>132</v>
      </c>
      <c r="D120" s="516">
        <v>5454.3059999999996</v>
      </c>
      <c r="E120" s="516">
        <v>490.88799999999998</v>
      </c>
      <c r="F120" s="516">
        <v>490.88799999999998</v>
      </c>
      <c r="G120" s="516">
        <v>6436.0820000000003</v>
      </c>
    </row>
    <row r="121" spans="1:7" x14ac:dyDescent="0.2">
      <c r="A121" s="513">
        <v>1715</v>
      </c>
      <c r="B121" s="514">
        <v>43109</v>
      </c>
      <c r="C121" s="515" t="s">
        <v>128</v>
      </c>
      <c r="D121" s="516">
        <v>5501.29</v>
      </c>
      <c r="E121" s="516">
        <v>495.12</v>
      </c>
      <c r="F121" s="516">
        <v>495.12</v>
      </c>
      <c r="G121" s="516">
        <v>6491.52</v>
      </c>
    </row>
    <row r="122" spans="1:7" x14ac:dyDescent="0.2">
      <c r="A122" s="513">
        <v>1716</v>
      </c>
      <c r="B122" s="514">
        <v>43109</v>
      </c>
      <c r="C122" s="515" t="s">
        <v>128</v>
      </c>
      <c r="D122" s="516">
        <v>10022.732</v>
      </c>
      <c r="E122" s="516">
        <v>601.36400000000003</v>
      </c>
      <c r="F122" s="516">
        <v>601.36400000000003</v>
      </c>
      <c r="G122" s="516">
        <v>11225.46</v>
      </c>
    </row>
    <row r="123" spans="1:7" x14ac:dyDescent="0.2">
      <c r="A123" s="513">
        <v>1717</v>
      </c>
      <c r="B123" s="514">
        <v>43109</v>
      </c>
      <c r="C123" s="515" t="s">
        <v>130</v>
      </c>
      <c r="D123" s="516">
        <v>2554.17</v>
      </c>
      <c r="E123" s="516">
        <v>229.876</v>
      </c>
      <c r="F123" s="516">
        <v>229.876</v>
      </c>
      <c r="G123" s="516">
        <v>3013.922</v>
      </c>
    </row>
    <row r="124" spans="1:7" s="522" customFormat="1" x14ac:dyDescent="0.2">
      <c r="A124" s="518">
        <v>1718</v>
      </c>
      <c r="B124" s="519">
        <v>43109</v>
      </c>
      <c r="C124" s="520" t="s">
        <v>123</v>
      </c>
      <c r="D124" s="521">
        <v>13034.681</v>
      </c>
      <c r="E124" s="521">
        <v>1115.848</v>
      </c>
      <c r="F124" s="521">
        <v>1115.848</v>
      </c>
      <c r="G124" s="521">
        <v>15266.377</v>
      </c>
    </row>
    <row r="125" spans="1:7" x14ac:dyDescent="0.2">
      <c r="A125" s="513">
        <v>1719</v>
      </c>
      <c r="B125" s="514">
        <v>43109</v>
      </c>
      <c r="C125" s="515" t="s">
        <v>123</v>
      </c>
      <c r="D125" s="516">
        <v>9819.4590000000007</v>
      </c>
      <c r="E125" s="516">
        <v>883.75099999999998</v>
      </c>
      <c r="F125" s="516">
        <v>883.75099999999998</v>
      </c>
      <c r="G125" s="516">
        <v>11586.960999999999</v>
      </c>
    </row>
    <row r="126" spans="1:7" x14ac:dyDescent="0.2">
      <c r="A126" s="513">
        <v>1720</v>
      </c>
      <c r="B126" s="514">
        <v>43109</v>
      </c>
      <c r="C126" s="515" t="s">
        <v>122</v>
      </c>
      <c r="D126" s="516">
        <v>5388.9589999999998</v>
      </c>
      <c r="E126" s="516">
        <v>485.00599999999997</v>
      </c>
      <c r="F126" s="516">
        <v>485.00599999999997</v>
      </c>
      <c r="G126" s="516">
        <v>6358.9709999999995</v>
      </c>
    </row>
    <row r="127" spans="1:7" x14ac:dyDescent="0.2">
      <c r="A127" s="513">
        <v>1721</v>
      </c>
      <c r="B127" s="514">
        <v>43111</v>
      </c>
      <c r="C127" s="515" t="s">
        <v>134</v>
      </c>
      <c r="D127" s="516">
        <v>1909.09</v>
      </c>
      <c r="E127" s="516">
        <v>114.545</v>
      </c>
      <c r="F127" s="516">
        <v>114.545</v>
      </c>
      <c r="G127" s="516">
        <v>2138.1799999999998</v>
      </c>
    </row>
    <row r="128" spans="1:7" x14ac:dyDescent="0.2">
      <c r="A128" s="513">
        <v>1722</v>
      </c>
      <c r="B128" s="514">
        <v>43111</v>
      </c>
      <c r="C128" s="515" t="s">
        <v>130</v>
      </c>
      <c r="D128" s="516">
        <v>2863.6370000000002</v>
      </c>
      <c r="E128" s="516">
        <v>171.81800000000001</v>
      </c>
      <c r="F128" s="516">
        <v>171.81800000000001</v>
      </c>
      <c r="G128" s="516">
        <v>3207.2730000000001</v>
      </c>
    </row>
    <row r="129" spans="1:7" x14ac:dyDescent="0.2">
      <c r="A129" s="513">
        <v>1723</v>
      </c>
      <c r="B129" s="514">
        <v>43113</v>
      </c>
      <c r="C129" s="515" t="s">
        <v>130</v>
      </c>
      <c r="D129" s="516">
        <v>10781.971</v>
      </c>
      <c r="E129" s="516">
        <v>970.37699999999995</v>
      </c>
      <c r="F129" s="516">
        <v>970.37699999999995</v>
      </c>
      <c r="G129" s="516">
        <v>12722.725</v>
      </c>
    </row>
    <row r="130" spans="1:7" x14ac:dyDescent="0.2">
      <c r="A130" s="513">
        <v>1724</v>
      </c>
      <c r="B130" s="514">
        <v>43113</v>
      </c>
      <c r="C130" s="515" t="s">
        <v>128</v>
      </c>
      <c r="D130" s="516">
        <v>5697.7629999999999</v>
      </c>
      <c r="E130" s="516">
        <v>512.79899999999998</v>
      </c>
      <c r="F130" s="516">
        <v>512.79899999999998</v>
      </c>
      <c r="G130" s="516">
        <v>6723.3609999999999</v>
      </c>
    </row>
    <row r="131" spans="1:7" x14ac:dyDescent="0.2">
      <c r="A131" s="513">
        <v>1725</v>
      </c>
      <c r="B131" s="514">
        <v>43118</v>
      </c>
      <c r="C131" s="515" t="s">
        <v>129</v>
      </c>
      <c r="D131" s="516">
        <v>8888.34</v>
      </c>
      <c r="E131" s="516">
        <v>799.95</v>
      </c>
      <c r="F131" s="516">
        <v>799.95</v>
      </c>
      <c r="G131" s="516">
        <v>10488.24</v>
      </c>
    </row>
    <row r="132" spans="1:7" x14ac:dyDescent="0.2">
      <c r="A132" s="513">
        <v>1726</v>
      </c>
      <c r="B132" s="514">
        <v>43118</v>
      </c>
      <c r="C132" s="515" t="s">
        <v>129</v>
      </c>
      <c r="D132" s="516">
        <v>5453.58</v>
      </c>
      <c r="E132" s="516">
        <v>389.35</v>
      </c>
      <c r="F132" s="516">
        <v>389.35</v>
      </c>
      <c r="G132" s="516">
        <v>6232.28</v>
      </c>
    </row>
    <row r="133" spans="1:7" x14ac:dyDescent="0.2">
      <c r="A133" s="513">
        <v>1727</v>
      </c>
      <c r="B133" s="514">
        <v>43118</v>
      </c>
      <c r="C133" s="515" t="s">
        <v>125</v>
      </c>
      <c r="D133" s="516">
        <v>10903.056</v>
      </c>
      <c r="E133" s="516">
        <v>981.27599999999995</v>
      </c>
      <c r="F133" s="516">
        <v>981.27599999999995</v>
      </c>
      <c r="G133" s="516">
        <v>12865.608</v>
      </c>
    </row>
    <row r="134" spans="1:7" x14ac:dyDescent="0.2">
      <c r="A134" s="513">
        <v>1728</v>
      </c>
      <c r="B134" s="514">
        <v>43120</v>
      </c>
      <c r="C134" s="515" t="s">
        <v>132</v>
      </c>
      <c r="D134" s="516">
        <v>4984.4759999999997</v>
      </c>
      <c r="E134" s="516">
        <v>448.60300000000001</v>
      </c>
      <c r="F134" s="516">
        <v>448.60300000000001</v>
      </c>
      <c r="G134" s="516">
        <v>5881.6819999999998</v>
      </c>
    </row>
    <row r="135" spans="1:7" x14ac:dyDescent="0.2">
      <c r="A135" s="513">
        <v>1729</v>
      </c>
      <c r="B135" s="514">
        <v>43120</v>
      </c>
      <c r="C135" s="515" t="s">
        <v>132</v>
      </c>
      <c r="D135" s="516">
        <v>11470.237999999999</v>
      </c>
      <c r="E135" s="516">
        <v>946.41200000000003</v>
      </c>
      <c r="F135" s="516">
        <v>946.41200000000003</v>
      </c>
      <c r="G135" s="516">
        <v>13363.062</v>
      </c>
    </row>
    <row r="136" spans="1:7" x14ac:dyDescent="0.2">
      <c r="A136" s="513">
        <v>1730</v>
      </c>
      <c r="B136" s="514">
        <v>43120</v>
      </c>
      <c r="C136" s="515" t="s">
        <v>128</v>
      </c>
      <c r="D136" s="516">
        <v>11861.083000000001</v>
      </c>
      <c r="E136" s="516">
        <v>1067.498</v>
      </c>
      <c r="F136" s="516">
        <v>1067.498</v>
      </c>
      <c r="G136" s="516">
        <v>13996.079</v>
      </c>
    </row>
    <row r="137" spans="1:7" x14ac:dyDescent="0.2">
      <c r="A137" s="513">
        <v>1731</v>
      </c>
      <c r="B137" s="514">
        <v>43122</v>
      </c>
      <c r="C137" s="515" t="s">
        <v>130</v>
      </c>
      <c r="D137" s="516">
        <v>12510.302</v>
      </c>
      <c r="E137" s="516">
        <v>1125.9280000000001</v>
      </c>
      <c r="F137" s="516">
        <v>1125.9280000000001</v>
      </c>
      <c r="G137" s="516">
        <v>14762.157999999999</v>
      </c>
    </row>
    <row r="138" spans="1:7" x14ac:dyDescent="0.2">
      <c r="A138" s="513">
        <v>1732</v>
      </c>
      <c r="B138" s="514">
        <v>43123</v>
      </c>
      <c r="C138" s="515" t="s">
        <v>128</v>
      </c>
      <c r="D138" s="516">
        <v>20851.116000000002</v>
      </c>
      <c r="E138" s="516">
        <v>1704.7819999999999</v>
      </c>
      <c r="F138" s="516">
        <v>1704.7819999999999</v>
      </c>
      <c r="G138" s="516">
        <v>24260.68</v>
      </c>
    </row>
    <row r="139" spans="1:7" x14ac:dyDescent="0.2">
      <c r="A139" s="513">
        <v>1733</v>
      </c>
      <c r="B139" s="514">
        <v>43124</v>
      </c>
      <c r="C139" s="515" t="s">
        <v>131</v>
      </c>
      <c r="D139" s="516">
        <v>9430.6759999999995</v>
      </c>
      <c r="E139" s="516">
        <v>848.76099999999997</v>
      </c>
      <c r="F139" s="516">
        <v>848.76099999999997</v>
      </c>
      <c r="G139" s="516">
        <v>11128.198</v>
      </c>
    </row>
    <row r="140" spans="1:7" x14ac:dyDescent="0.2">
      <c r="A140" s="513">
        <v>1734</v>
      </c>
      <c r="B140" s="514">
        <v>43124</v>
      </c>
      <c r="C140" s="515" t="s">
        <v>129</v>
      </c>
      <c r="D140" s="516">
        <v>4772.7280000000001</v>
      </c>
      <c r="E140" s="516">
        <v>286.36399999999998</v>
      </c>
      <c r="F140" s="516">
        <v>286.36399999999998</v>
      </c>
      <c r="G140" s="516">
        <v>5345.4560000000001</v>
      </c>
    </row>
    <row r="141" spans="1:7" x14ac:dyDescent="0.2">
      <c r="A141" s="513">
        <v>1735</v>
      </c>
      <c r="B141" s="514">
        <v>43124</v>
      </c>
      <c r="C141" s="515" t="s">
        <v>129</v>
      </c>
      <c r="D141" s="516">
        <v>5962.5770000000002</v>
      </c>
      <c r="E141" s="516">
        <v>536.63199999999995</v>
      </c>
      <c r="F141" s="516">
        <v>536.63199999999995</v>
      </c>
      <c r="G141" s="516">
        <v>7035.8410000000003</v>
      </c>
    </row>
    <row r="142" spans="1:7" x14ac:dyDescent="0.2">
      <c r="A142" s="513">
        <v>1736</v>
      </c>
      <c r="B142" s="514">
        <v>43124</v>
      </c>
      <c r="C142" s="515" t="s">
        <v>123</v>
      </c>
      <c r="D142" s="516">
        <v>9081.4629999999997</v>
      </c>
      <c r="E142" s="516">
        <v>544.88800000000003</v>
      </c>
      <c r="F142" s="516">
        <v>544.88800000000003</v>
      </c>
      <c r="G142" s="516">
        <v>10171.239</v>
      </c>
    </row>
    <row r="143" spans="1:7" x14ac:dyDescent="0.2">
      <c r="A143" s="513">
        <v>1737</v>
      </c>
      <c r="B143" s="514">
        <v>43124</v>
      </c>
      <c r="C143" s="515" t="s">
        <v>124</v>
      </c>
      <c r="D143" s="516">
        <v>9017.5519999999997</v>
      </c>
      <c r="E143" s="516">
        <v>541.05399999999997</v>
      </c>
      <c r="F143" s="516">
        <v>541.05399999999997</v>
      </c>
      <c r="G143" s="516">
        <v>10099.66</v>
      </c>
    </row>
    <row r="144" spans="1:7" x14ac:dyDescent="0.2">
      <c r="A144" s="513">
        <v>1738</v>
      </c>
      <c r="B144" s="514">
        <v>43124</v>
      </c>
      <c r="C144" s="515" t="s">
        <v>126</v>
      </c>
      <c r="D144" s="516">
        <v>6838.17</v>
      </c>
      <c r="E144" s="516">
        <v>615.43600000000004</v>
      </c>
      <c r="F144" s="516">
        <v>615.43600000000004</v>
      </c>
      <c r="G144" s="516">
        <v>8069.0420000000004</v>
      </c>
    </row>
    <row r="145" spans="1:7" x14ac:dyDescent="0.2">
      <c r="A145" s="513">
        <v>1739</v>
      </c>
      <c r="B145" s="514">
        <v>43124</v>
      </c>
      <c r="C145" s="515" t="s">
        <v>124</v>
      </c>
      <c r="D145" s="516">
        <v>3476.7359999999999</v>
      </c>
      <c r="E145" s="516">
        <v>312.90600000000001</v>
      </c>
      <c r="F145" s="516">
        <v>312.90600000000001</v>
      </c>
      <c r="G145" s="516">
        <v>4102.5479999999998</v>
      </c>
    </row>
    <row r="146" spans="1:7" x14ac:dyDescent="0.2">
      <c r="A146" s="513">
        <v>1740</v>
      </c>
      <c r="B146" s="514">
        <v>43125</v>
      </c>
      <c r="C146" s="515" t="s">
        <v>122</v>
      </c>
      <c r="D146" s="516">
        <v>896.94899999999996</v>
      </c>
      <c r="E146" s="516">
        <v>80.725999999999999</v>
      </c>
      <c r="F146" s="516">
        <v>80.725999999999999</v>
      </c>
      <c r="G146" s="516">
        <v>1058.4010000000001</v>
      </c>
    </row>
    <row r="147" spans="1:7" x14ac:dyDescent="0.2">
      <c r="A147" s="513">
        <v>1741</v>
      </c>
      <c r="B147" s="514">
        <v>43125</v>
      </c>
      <c r="C147" s="515" t="s">
        <v>122</v>
      </c>
      <c r="D147" s="516">
        <v>5260.91</v>
      </c>
      <c r="E147" s="516">
        <v>462.98200000000003</v>
      </c>
      <c r="F147" s="516">
        <v>462.98200000000003</v>
      </c>
      <c r="G147" s="516">
        <v>6186.8739999999998</v>
      </c>
    </row>
    <row r="148" spans="1:7" x14ac:dyDescent="0.2">
      <c r="A148" s="513">
        <v>1742</v>
      </c>
      <c r="B148" s="514">
        <v>43125</v>
      </c>
      <c r="C148" s="515" t="s">
        <v>121</v>
      </c>
      <c r="D148" s="516">
        <v>7040.4129999999996</v>
      </c>
      <c r="E148" s="516">
        <v>633.63699999999994</v>
      </c>
      <c r="F148" s="516">
        <v>633.63699999999994</v>
      </c>
      <c r="G148" s="516">
        <v>8307.6869999999999</v>
      </c>
    </row>
    <row r="149" spans="1:7" x14ac:dyDescent="0.2">
      <c r="A149" s="513">
        <v>1743</v>
      </c>
      <c r="B149" s="514">
        <v>43125</v>
      </c>
      <c r="C149" s="515" t="s">
        <v>125</v>
      </c>
      <c r="D149" s="516">
        <v>1628.0340000000001</v>
      </c>
      <c r="E149" s="516">
        <v>146.524</v>
      </c>
      <c r="F149" s="516">
        <v>146.524</v>
      </c>
      <c r="G149" s="516">
        <v>1921.0820000000001</v>
      </c>
    </row>
    <row r="150" spans="1:7" x14ac:dyDescent="0.2">
      <c r="A150" s="513">
        <v>1744</v>
      </c>
      <c r="B150" s="514">
        <v>43125</v>
      </c>
      <c r="C150" s="515" t="s">
        <v>138</v>
      </c>
      <c r="D150" s="516">
        <v>707.44299999999998</v>
      </c>
      <c r="E150" s="516">
        <v>63.67</v>
      </c>
      <c r="F150" s="516">
        <v>63.67</v>
      </c>
      <c r="G150" s="516">
        <v>834.78300000000002</v>
      </c>
    </row>
    <row r="151" spans="1:7" x14ac:dyDescent="0.2">
      <c r="A151" s="513">
        <v>1745</v>
      </c>
      <c r="B151" s="514">
        <v>43127</v>
      </c>
      <c r="C151" s="515" t="s">
        <v>128</v>
      </c>
      <c r="D151" s="516">
        <v>6517.83</v>
      </c>
      <c r="E151" s="516">
        <v>586.61</v>
      </c>
      <c r="F151" s="516">
        <v>586.61</v>
      </c>
      <c r="G151" s="516">
        <v>7691.04</v>
      </c>
    </row>
    <row r="152" spans="1:7" x14ac:dyDescent="0.2">
      <c r="A152" s="513">
        <v>1746</v>
      </c>
      <c r="B152" s="514">
        <v>43129</v>
      </c>
      <c r="C152" s="515" t="s">
        <v>104</v>
      </c>
      <c r="D152" s="516">
        <v>3722.04</v>
      </c>
      <c r="E152" s="516">
        <v>334.98500000000001</v>
      </c>
      <c r="F152" s="516">
        <v>334.98500000000001</v>
      </c>
      <c r="G152" s="516">
        <v>4392.01</v>
      </c>
    </row>
    <row r="153" spans="1:7" x14ac:dyDescent="0.2">
      <c r="A153" s="513">
        <v>1747</v>
      </c>
      <c r="B153" s="514">
        <v>43129</v>
      </c>
      <c r="C153" s="515" t="s">
        <v>130</v>
      </c>
      <c r="D153" s="516">
        <v>12590.179</v>
      </c>
      <c r="E153" s="516">
        <v>1133.116</v>
      </c>
      <c r="F153" s="516">
        <v>1133.116</v>
      </c>
      <c r="G153" s="516">
        <v>14856.411</v>
      </c>
    </row>
    <row r="154" spans="1:7" x14ac:dyDescent="0.2">
      <c r="A154" s="513">
        <v>1748</v>
      </c>
      <c r="B154" s="514">
        <v>43129</v>
      </c>
      <c r="C154" s="515" t="s">
        <v>130</v>
      </c>
      <c r="D154" s="516">
        <v>13211.637000000001</v>
      </c>
      <c r="E154" s="516">
        <v>1189.048</v>
      </c>
      <c r="F154" s="516">
        <v>1189.048</v>
      </c>
      <c r="G154" s="516">
        <v>15589.733</v>
      </c>
    </row>
    <row r="155" spans="1:7" x14ac:dyDescent="0.2">
      <c r="A155" s="513">
        <v>1749</v>
      </c>
      <c r="B155" s="514">
        <v>43131</v>
      </c>
      <c r="C155" s="515" t="s">
        <v>132</v>
      </c>
      <c r="D155" s="516">
        <v>10901.64</v>
      </c>
      <c r="E155" s="516">
        <v>981.15</v>
      </c>
      <c r="F155" s="516">
        <v>981.15</v>
      </c>
      <c r="G155" s="516">
        <v>12863.93</v>
      </c>
    </row>
    <row r="156" spans="1:7" x14ac:dyDescent="0.2">
      <c r="A156" s="513">
        <v>1750</v>
      </c>
      <c r="B156" s="514">
        <v>43132</v>
      </c>
      <c r="C156" s="515" t="s">
        <v>147</v>
      </c>
      <c r="D156" s="516">
        <v>6897.57</v>
      </c>
      <c r="E156" s="516">
        <v>620.78099999999995</v>
      </c>
      <c r="F156" s="516">
        <v>620.78099999999995</v>
      </c>
      <c r="G156" s="516">
        <v>8139.1319999999996</v>
      </c>
    </row>
    <row r="157" spans="1:7" x14ac:dyDescent="0.2">
      <c r="A157" s="513">
        <v>1751</v>
      </c>
      <c r="B157" s="514">
        <v>43132</v>
      </c>
      <c r="C157" s="515" t="s">
        <v>128</v>
      </c>
      <c r="D157" s="516">
        <v>7451.9350000000004</v>
      </c>
      <c r="E157" s="516">
        <v>670.67399999999998</v>
      </c>
      <c r="F157" s="516">
        <v>670.67399999999998</v>
      </c>
      <c r="G157" s="516">
        <v>8793.2829999999994</v>
      </c>
    </row>
    <row r="158" spans="1:7" x14ac:dyDescent="0.2">
      <c r="A158" s="513">
        <v>1752</v>
      </c>
      <c r="B158" s="514">
        <v>43132</v>
      </c>
      <c r="C158" s="515" t="s">
        <v>128</v>
      </c>
      <c r="D158" s="516">
        <v>841.61300000000006</v>
      </c>
      <c r="E158" s="516">
        <v>75.745000000000005</v>
      </c>
      <c r="F158" s="516">
        <v>75.745000000000005</v>
      </c>
      <c r="G158" s="516">
        <v>993.10299999999995</v>
      </c>
    </row>
    <row r="159" spans="1:7" x14ac:dyDescent="0.2">
      <c r="A159" s="513">
        <v>1753</v>
      </c>
      <c r="B159" s="514">
        <v>43132</v>
      </c>
      <c r="C159" s="515" t="s">
        <v>133</v>
      </c>
      <c r="D159" s="516">
        <v>2086.0459999999998</v>
      </c>
      <c r="E159" s="516">
        <v>187.744</v>
      </c>
      <c r="F159" s="516">
        <v>187.744</v>
      </c>
      <c r="G159" s="516">
        <v>2461.5340000000001</v>
      </c>
    </row>
    <row r="160" spans="1:7" x14ac:dyDescent="0.2">
      <c r="A160" s="513">
        <v>1754</v>
      </c>
      <c r="B160" s="514">
        <v>43134</v>
      </c>
      <c r="C160" s="515" t="s">
        <v>137</v>
      </c>
      <c r="D160" s="516">
        <v>2981.366</v>
      </c>
      <c r="E160" s="516">
        <v>178.88200000000001</v>
      </c>
      <c r="F160" s="516">
        <v>178.88200000000001</v>
      </c>
      <c r="G160" s="516">
        <v>3339.13</v>
      </c>
    </row>
    <row r="161" spans="1:7" x14ac:dyDescent="0.2">
      <c r="A161" s="513">
        <v>1755</v>
      </c>
      <c r="B161" s="514">
        <v>43134</v>
      </c>
      <c r="C161" s="515" t="s">
        <v>128</v>
      </c>
      <c r="D161" s="516">
        <v>17759.589</v>
      </c>
      <c r="E161" s="516">
        <v>1598.3630000000001</v>
      </c>
      <c r="F161" s="516">
        <v>1598.3630000000001</v>
      </c>
      <c r="G161" s="516">
        <v>20956.314999999999</v>
      </c>
    </row>
    <row r="162" spans="1:7" x14ac:dyDescent="0.2">
      <c r="A162" s="513">
        <v>1756</v>
      </c>
      <c r="B162" s="514">
        <v>43134</v>
      </c>
      <c r="C162" s="515" t="s">
        <v>130</v>
      </c>
      <c r="D162" s="516">
        <v>8972.73</v>
      </c>
      <c r="E162" s="516">
        <v>538.36</v>
      </c>
      <c r="F162" s="516">
        <v>538.36</v>
      </c>
      <c r="G162" s="516">
        <v>10049.459999999999</v>
      </c>
    </row>
    <row r="163" spans="1:7" x14ac:dyDescent="0.2">
      <c r="A163" s="513">
        <v>1757</v>
      </c>
      <c r="B163" s="514">
        <v>43134</v>
      </c>
      <c r="C163" s="515" t="s">
        <v>128</v>
      </c>
      <c r="D163" s="516">
        <v>2104.0320000000002</v>
      </c>
      <c r="E163" s="516">
        <v>189.363</v>
      </c>
      <c r="F163" s="516">
        <v>189.363</v>
      </c>
      <c r="G163" s="516">
        <v>2482.7579999999998</v>
      </c>
    </row>
    <row r="164" spans="1:7" x14ac:dyDescent="0.2">
      <c r="A164" s="513">
        <v>1758</v>
      </c>
      <c r="B164" s="514">
        <v>43136</v>
      </c>
      <c r="C164" s="515" t="s">
        <v>130</v>
      </c>
      <c r="D164" s="516">
        <v>12642.715</v>
      </c>
      <c r="E164" s="516">
        <v>1137.8440000000001</v>
      </c>
      <c r="F164" s="516">
        <v>1137.8440000000001</v>
      </c>
      <c r="G164" s="516">
        <v>14918.403</v>
      </c>
    </row>
    <row r="165" spans="1:7" x14ac:dyDescent="0.2">
      <c r="A165" s="513">
        <v>1759</v>
      </c>
      <c r="B165" s="514">
        <v>43136</v>
      </c>
      <c r="C165" s="515" t="s">
        <v>131</v>
      </c>
      <c r="D165" s="516">
        <v>4772.7280000000001</v>
      </c>
      <c r="E165" s="516">
        <v>286.36399999999998</v>
      </c>
      <c r="F165" s="516">
        <v>286.36399999999998</v>
      </c>
      <c r="G165" s="516">
        <v>5345.4560000000001</v>
      </c>
    </row>
    <row r="166" spans="1:7" x14ac:dyDescent="0.2">
      <c r="A166" s="513">
        <v>1760</v>
      </c>
      <c r="B166" s="514">
        <v>43136</v>
      </c>
      <c r="C166" s="515" t="s">
        <v>129</v>
      </c>
      <c r="D166" s="516">
        <v>16293.87</v>
      </c>
      <c r="E166" s="516">
        <v>1466.45</v>
      </c>
      <c r="F166" s="516">
        <v>1466.45</v>
      </c>
      <c r="G166" s="516">
        <v>19226.759999999998</v>
      </c>
    </row>
    <row r="167" spans="1:7" x14ac:dyDescent="0.2">
      <c r="A167" s="513">
        <v>1761</v>
      </c>
      <c r="B167" s="514">
        <v>43136</v>
      </c>
      <c r="C167" s="515" t="s">
        <v>124</v>
      </c>
      <c r="D167" s="516">
        <v>6084.3209999999999</v>
      </c>
      <c r="E167" s="516">
        <v>547.58900000000006</v>
      </c>
      <c r="F167" s="516">
        <v>547.58900000000006</v>
      </c>
      <c r="G167" s="516">
        <v>7179.4989999999998</v>
      </c>
    </row>
    <row r="168" spans="1:7" x14ac:dyDescent="0.2">
      <c r="A168" s="513">
        <v>1762</v>
      </c>
      <c r="B168" s="514">
        <v>43136</v>
      </c>
      <c r="C168" s="515" t="s">
        <v>125</v>
      </c>
      <c r="D168" s="516">
        <v>9545.4580000000005</v>
      </c>
      <c r="E168" s="516">
        <v>572.72799999999995</v>
      </c>
      <c r="F168" s="516">
        <v>572.72799999999995</v>
      </c>
      <c r="G168" s="516">
        <v>10690.914000000001</v>
      </c>
    </row>
    <row r="169" spans="1:7" x14ac:dyDescent="0.2">
      <c r="A169" s="513">
        <v>1763</v>
      </c>
      <c r="B169" s="514">
        <v>43136</v>
      </c>
      <c r="C169" s="515" t="s">
        <v>126</v>
      </c>
      <c r="D169" s="516">
        <v>4772.7290000000003</v>
      </c>
      <c r="E169" s="516">
        <v>286.36399999999998</v>
      </c>
      <c r="F169" s="516">
        <v>286.36399999999998</v>
      </c>
      <c r="G169" s="516">
        <v>5345.4570000000003</v>
      </c>
    </row>
    <row r="170" spans="1:7" x14ac:dyDescent="0.2">
      <c r="A170" s="513">
        <v>1764</v>
      </c>
      <c r="B170" s="514">
        <v>43136</v>
      </c>
      <c r="C170" s="515" t="s">
        <v>122</v>
      </c>
      <c r="D170" s="516">
        <v>3818.1840000000002</v>
      </c>
      <c r="E170" s="516">
        <v>229.09100000000001</v>
      </c>
      <c r="F170" s="516">
        <v>229.09100000000001</v>
      </c>
      <c r="G170" s="516">
        <v>4276.366</v>
      </c>
    </row>
    <row r="171" spans="1:7" x14ac:dyDescent="0.2">
      <c r="A171" s="513">
        <v>1765</v>
      </c>
      <c r="B171" s="514">
        <v>43137</v>
      </c>
      <c r="C171" s="515" t="s">
        <v>129</v>
      </c>
      <c r="D171" s="516">
        <v>19858.167000000001</v>
      </c>
      <c r="E171" s="516">
        <v>1787.2360000000001</v>
      </c>
      <c r="F171" s="516">
        <v>1787.2360000000001</v>
      </c>
      <c r="G171" s="516">
        <v>23432.638999999999</v>
      </c>
    </row>
    <row r="172" spans="1:7" x14ac:dyDescent="0.2">
      <c r="A172" s="513">
        <v>1766</v>
      </c>
      <c r="B172" s="514">
        <v>43137</v>
      </c>
      <c r="C172" s="515" t="s">
        <v>123</v>
      </c>
      <c r="D172" s="516">
        <v>7975.73</v>
      </c>
      <c r="E172" s="516">
        <v>717.81600000000003</v>
      </c>
      <c r="F172" s="516">
        <v>717.81600000000003</v>
      </c>
      <c r="G172" s="516">
        <v>9411.3619999999992</v>
      </c>
    </row>
    <row r="173" spans="1:7" x14ac:dyDescent="0.2">
      <c r="A173" s="513">
        <v>1767</v>
      </c>
      <c r="B173" s="514">
        <v>43137</v>
      </c>
      <c r="C173" s="515" t="s">
        <v>123</v>
      </c>
      <c r="D173" s="516">
        <v>10604.073</v>
      </c>
      <c r="E173" s="516">
        <v>954.36699999999996</v>
      </c>
      <c r="F173" s="516">
        <v>954.36699999999996</v>
      </c>
      <c r="G173" s="516">
        <v>12512.807000000001</v>
      </c>
    </row>
    <row r="174" spans="1:7" x14ac:dyDescent="0.2">
      <c r="A174" s="513">
        <v>1768</v>
      </c>
      <c r="B174" s="514">
        <v>43137</v>
      </c>
      <c r="C174" s="515" t="s">
        <v>125</v>
      </c>
      <c r="D174" s="516">
        <v>16698.197</v>
      </c>
      <c r="E174" s="516">
        <v>1502.837</v>
      </c>
      <c r="F174" s="516">
        <v>1502.837</v>
      </c>
      <c r="G174" s="516">
        <v>19703.870999999999</v>
      </c>
    </row>
    <row r="175" spans="1:7" x14ac:dyDescent="0.2">
      <c r="A175" s="513">
        <v>1769</v>
      </c>
      <c r="B175" s="514">
        <v>43137</v>
      </c>
      <c r="C175" s="515" t="s">
        <v>125</v>
      </c>
      <c r="D175" s="516">
        <v>3690.63</v>
      </c>
      <c r="E175" s="516">
        <v>299.28699999999998</v>
      </c>
      <c r="F175" s="516">
        <v>299.28699999999998</v>
      </c>
      <c r="G175" s="516">
        <v>4289.2039999999997</v>
      </c>
    </row>
    <row r="176" spans="1:7" x14ac:dyDescent="0.2">
      <c r="A176" s="513">
        <v>1770</v>
      </c>
      <c r="B176" s="514">
        <v>43139</v>
      </c>
      <c r="C176" s="515" t="s">
        <v>128</v>
      </c>
      <c r="D176" s="516">
        <v>7683.87</v>
      </c>
      <c r="E176" s="516">
        <v>691.55</v>
      </c>
      <c r="F176" s="516">
        <v>691.55</v>
      </c>
      <c r="G176" s="516">
        <v>9066.9599999999991</v>
      </c>
    </row>
    <row r="177" spans="1:7" x14ac:dyDescent="0.2">
      <c r="A177" s="513">
        <v>1771</v>
      </c>
      <c r="B177" s="514">
        <v>43139</v>
      </c>
      <c r="C177" s="515" t="s">
        <v>133</v>
      </c>
      <c r="D177" s="516">
        <v>9644.86</v>
      </c>
      <c r="E177" s="516">
        <v>810.76</v>
      </c>
      <c r="F177" s="516">
        <v>810.76</v>
      </c>
      <c r="G177" s="516">
        <v>11266.38</v>
      </c>
    </row>
    <row r="178" spans="1:7" x14ac:dyDescent="0.2">
      <c r="A178" s="513">
        <v>1772</v>
      </c>
      <c r="B178" s="514">
        <v>43139</v>
      </c>
      <c r="C178" s="515" t="s">
        <v>134</v>
      </c>
      <c r="D178" s="516">
        <v>3818.1840000000002</v>
      </c>
      <c r="E178" s="516">
        <v>229.09100000000001</v>
      </c>
      <c r="F178" s="516">
        <v>229.09100000000001</v>
      </c>
      <c r="G178" s="516">
        <v>4276.366</v>
      </c>
    </row>
    <row r="179" spans="1:7" x14ac:dyDescent="0.2">
      <c r="A179" s="513">
        <v>1773</v>
      </c>
      <c r="B179" s="514">
        <v>43139</v>
      </c>
      <c r="C179" s="515" t="s">
        <v>128</v>
      </c>
      <c r="D179" s="516">
        <v>1067.797</v>
      </c>
      <c r="E179" s="516">
        <v>96.102000000000004</v>
      </c>
      <c r="F179" s="516">
        <v>96.102000000000004</v>
      </c>
      <c r="G179" s="516">
        <v>1260.001</v>
      </c>
    </row>
    <row r="180" spans="1:7" x14ac:dyDescent="0.2">
      <c r="A180" s="513">
        <v>1774</v>
      </c>
      <c r="B180" s="514">
        <v>43139</v>
      </c>
      <c r="C180" s="515" t="s">
        <v>133</v>
      </c>
      <c r="D180" s="516">
        <v>1623.0509999999999</v>
      </c>
      <c r="E180" s="516">
        <v>146.07499999999999</v>
      </c>
      <c r="F180" s="516">
        <v>146.07499999999999</v>
      </c>
      <c r="G180" s="516">
        <v>1915.201</v>
      </c>
    </row>
    <row r="181" spans="1:7" x14ac:dyDescent="0.2">
      <c r="A181" s="513">
        <v>1775</v>
      </c>
      <c r="B181" s="514">
        <v>43141</v>
      </c>
      <c r="C181" s="515" t="s">
        <v>128</v>
      </c>
      <c r="D181" s="516">
        <v>4681.22</v>
      </c>
      <c r="E181" s="516">
        <v>421.31</v>
      </c>
      <c r="F181" s="516">
        <v>421.31</v>
      </c>
      <c r="G181" s="516">
        <v>5523.84</v>
      </c>
    </row>
    <row r="182" spans="1:7" x14ac:dyDescent="0.2">
      <c r="A182" s="513">
        <v>1776</v>
      </c>
      <c r="B182" s="514">
        <v>43141</v>
      </c>
      <c r="C182" s="515" t="s">
        <v>128</v>
      </c>
      <c r="D182" s="516">
        <v>22857.076000000001</v>
      </c>
      <c r="E182" s="516">
        <v>1809.4949999999999</v>
      </c>
      <c r="F182" s="516">
        <v>1809.4949999999999</v>
      </c>
      <c r="G182" s="516">
        <v>26476.065999999999</v>
      </c>
    </row>
    <row r="183" spans="1:7" x14ac:dyDescent="0.2">
      <c r="A183" s="513">
        <v>1777</v>
      </c>
      <c r="B183" s="514">
        <v>43141</v>
      </c>
      <c r="C183" s="515" t="s">
        <v>130</v>
      </c>
      <c r="D183" s="516">
        <v>8764.4689999999991</v>
      </c>
      <c r="E183" s="516">
        <v>788.803</v>
      </c>
      <c r="F183" s="516">
        <v>788.803</v>
      </c>
      <c r="G183" s="516">
        <v>10342.075000000001</v>
      </c>
    </row>
    <row r="184" spans="1:7" x14ac:dyDescent="0.2">
      <c r="A184" s="513">
        <v>1778</v>
      </c>
      <c r="B184" s="514">
        <v>43141</v>
      </c>
      <c r="C184" s="515" t="s">
        <v>132</v>
      </c>
      <c r="D184" s="516">
        <v>5189.4880000000003</v>
      </c>
      <c r="E184" s="516">
        <v>467.05399999999997</v>
      </c>
      <c r="F184" s="516">
        <v>467.05399999999997</v>
      </c>
      <c r="G184" s="516">
        <v>6123.5959999999995</v>
      </c>
    </row>
    <row r="185" spans="1:7" x14ac:dyDescent="0.2">
      <c r="A185" s="513">
        <v>1779</v>
      </c>
      <c r="B185" s="514">
        <v>43141</v>
      </c>
      <c r="C185" s="515" t="s">
        <v>124</v>
      </c>
      <c r="D185" s="516">
        <v>8940.6280000000006</v>
      </c>
      <c r="E185" s="516">
        <v>614.28700000000003</v>
      </c>
      <c r="F185" s="516">
        <v>614.28700000000003</v>
      </c>
      <c r="G185" s="516">
        <v>10169.201999999999</v>
      </c>
    </row>
    <row r="186" spans="1:7" x14ac:dyDescent="0.2">
      <c r="A186" s="513">
        <v>1780</v>
      </c>
      <c r="B186" s="514">
        <v>43141</v>
      </c>
      <c r="C186" s="515" t="s">
        <v>138</v>
      </c>
      <c r="D186" s="516">
        <v>5408.9930000000004</v>
      </c>
      <c r="E186" s="516">
        <v>486.81</v>
      </c>
      <c r="F186" s="516">
        <v>486.81</v>
      </c>
      <c r="G186" s="516">
        <v>6382.6130000000003</v>
      </c>
    </row>
    <row r="187" spans="1:7" x14ac:dyDescent="0.2">
      <c r="A187" s="513">
        <v>1781</v>
      </c>
      <c r="B187" s="514">
        <v>43143</v>
      </c>
      <c r="C187" s="515" t="s">
        <v>128</v>
      </c>
      <c r="D187" s="516">
        <v>7987.1109999999999</v>
      </c>
      <c r="E187" s="516">
        <v>718.84</v>
      </c>
      <c r="F187" s="516">
        <v>718.84</v>
      </c>
      <c r="G187" s="516">
        <v>9424.7909999999993</v>
      </c>
    </row>
    <row r="188" spans="1:7" x14ac:dyDescent="0.2">
      <c r="A188" s="513">
        <v>1782</v>
      </c>
      <c r="B188" s="514">
        <v>43144</v>
      </c>
      <c r="C188" s="515" t="s">
        <v>134</v>
      </c>
      <c r="D188" s="516">
        <v>4954.37</v>
      </c>
      <c r="E188" s="516">
        <v>445.89</v>
      </c>
      <c r="F188" s="516">
        <v>445.89</v>
      </c>
      <c r="G188" s="516">
        <v>5846.16</v>
      </c>
    </row>
    <row r="189" spans="1:7" x14ac:dyDescent="0.2">
      <c r="A189" s="513">
        <v>1783</v>
      </c>
      <c r="B189" s="514">
        <v>43146</v>
      </c>
      <c r="C189" s="515" t="s">
        <v>132</v>
      </c>
      <c r="D189" s="516">
        <v>10159.617</v>
      </c>
      <c r="E189" s="516">
        <v>752.79300000000001</v>
      </c>
      <c r="F189" s="516">
        <v>752.79300000000001</v>
      </c>
      <c r="G189" s="516">
        <v>11665.203</v>
      </c>
    </row>
    <row r="190" spans="1:7" x14ac:dyDescent="0.2">
      <c r="A190" s="513">
        <v>1784</v>
      </c>
      <c r="B190" s="514">
        <v>43147</v>
      </c>
      <c r="C190" s="515" t="s">
        <v>129</v>
      </c>
      <c r="D190" s="516">
        <v>10778.337</v>
      </c>
      <c r="E190" s="516">
        <v>970.05100000000004</v>
      </c>
      <c r="F190" s="516">
        <v>970.05100000000004</v>
      </c>
      <c r="G190" s="516">
        <v>12718.439</v>
      </c>
    </row>
    <row r="191" spans="1:7" x14ac:dyDescent="0.2">
      <c r="A191" s="513">
        <v>1785</v>
      </c>
      <c r="B191" s="514">
        <v>43147</v>
      </c>
      <c r="C191" s="515" t="s">
        <v>129</v>
      </c>
      <c r="D191" s="516">
        <v>13906.989</v>
      </c>
      <c r="E191" s="516">
        <v>1251.6289999999999</v>
      </c>
      <c r="F191" s="516">
        <v>1251.6289999999999</v>
      </c>
      <c r="G191" s="516">
        <v>16410.246999999999</v>
      </c>
    </row>
    <row r="192" spans="1:7" x14ac:dyDescent="0.2">
      <c r="A192" s="513">
        <v>1786</v>
      </c>
      <c r="B192" s="514">
        <v>43148</v>
      </c>
      <c r="C192" s="515" t="s">
        <v>124</v>
      </c>
      <c r="D192" s="516">
        <v>14831.834000000001</v>
      </c>
      <c r="E192" s="516">
        <v>1334.866</v>
      </c>
      <c r="F192" s="516">
        <v>1334.866</v>
      </c>
      <c r="G192" s="516">
        <v>17501.565999999999</v>
      </c>
    </row>
    <row r="193" spans="1:7" x14ac:dyDescent="0.2">
      <c r="A193" s="513">
        <v>1787</v>
      </c>
      <c r="B193" s="514">
        <v>43148</v>
      </c>
      <c r="C193" s="515" t="s">
        <v>124</v>
      </c>
      <c r="D193" s="516">
        <v>13559.302</v>
      </c>
      <c r="E193" s="516">
        <v>1220.338</v>
      </c>
      <c r="F193" s="516">
        <v>1220.338</v>
      </c>
      <c r="G193" s="516">
        <v>15999.977999999999</v>
      </c>
    </row>
    <row r="194" spans="1:7" x14ac:dyDescent="0.2">
      <c r="A194" s="513">
        <v>1788</v>
      </c>
      <c r="B194" s="514">
        <v>43148</v>
      </c>
      <c r="C194" s="515" t="s">
        <v>128</v>
      </c>
      <c r="D194" s="516">
        <v>7991.3890000000001</v>
      </c>
      <c r="E194" s="516">
        <v>719.22500000000002</v>
      </c>
      <c r="F194" s="516">
        <v>719.22500000000002</v>
      </c>
      <c r="G194" s="516">
        <v>9429.8389999999999</v>
      </c>
    </row>
    <row r="195" spans="1:7" x14ac:dyDescent="0.2">
      <c r="A195" s="513">
        <v>1789</v>
      </c>
      <c r="B195" s="514">
        <v>43148</v>
      </c>
      <c r="C195" s="515" t="s">
        <v>130</v>
      </c>
      <c r="D195" s="516">
        <v>8811.4590000000007</v>
      </c>
      <c r="E195" s="516">
        <v>793.03099999999995</v>
      </c>
      <c r="F195" s="516">
        <v>793.03099999999995</v>
      </c>
      <c r="G195" s="516">
        <v>10397.521000000001</v>
      </c>
    </row>
    <row r="196" spans="1:7" x14ac:dyDescent="0.2">
      <c r="A196" s="513">
        <v>1790</v>
      </c>
      <c r="B196" s="514">
        <v>43148</v>
      </c>
      <c r="C196" s="515" t="s">
        <v>131</v>
      </c>
      <c r="D196" s="516">
        <v>8086.0290000000005</v>
      </c>
      <c r="E196" s="516">
        <v>698.98199999999997</v>
      </c>
      <c r="F196" s="516">
        <v>698.98199999999997</v>
      </c>
      <c r="G196" s="516">
        <v>9483.9930000000004</v>
      </c>
    </row>
    <row r="197" spans="1:7" x14ac:dyDescent="0.2">
      <c r="A197" s="513">
        <v>1791</v>
      </c>
      <c r="B197" s="514">
        <v>43150</v>
      </c>
      <c r="C197" s="515" t="s">
        <v>123</v>
      </c>
      <c r="D197" s="516">
        <v>10256.33</v>
      </c>
      <c r="E197" s="516">
        <v>607.23</v>
      </c>
      <c r="F197" s="516">
        <v>607.23</v>
      </c>
      <c r="G197" s="516">
        <v>11470.78</v>
      </c>
    </row>
    <row r="198" spans="1:7" x14ac:dyDescent="0.2">
      <c r="A198" s="513">
        <v>1792</v>
      </c>
      <c r="B198" s="514">
        <v>43150</v>
      </c>
      <c r="C198" s="515" t="s">
        <v>126</v>
      </c>
      <c r="D198" s="516">
        <v>10669.27</v>
      </c>
      <c r="E198" s="516">
        <v>960.23</v>
      </c>
      <c r="F198" s="516">
        <v>960.23</v>
      </c>
      <c r="G198" s="516">
        <v>12589.73</v>
      </c>
    </row>
    <row r="199" spans="1:7" x14ac:dyDescent="0.2">
      <c r="A199" s="513">
        <v>1793</v>
      </c>
      <c r="B199" s="514">
        <v>43150</v>
      </c>
      <c r="C199" s="515" t="s">
        <v>123</v>
      </c>
      <c r="D199" s="516">
        <v>3442.576</v>
      </c>
      <c r="E199" s="516">
        <v>309.83199999999999</v>
      </c>
      <c r="F199" s="516">
        <v>309.83199999999999</v>
      </c>
      <c r="G199" s="516">
        <v>4062.24</v>
      </c>
    </row>
    <row r="200" spans="1:7" x14ac:dyDescent="0.2">
      <c r="A200" s="513">
        <v>1794</v>
      </c>
      <c r="B200" s="514">
        <v>43150</v>
      </c>
      <c r="C200" s="515" t="s">
        <v>126</v>
      </c>
      <c r="D200" s="516">
        <v>4403.5929999999998</v>
      </c>
      <c r="E200" s="516">
        <v>396.32400000000001</v>
      </c>
      <c r="F200" s="516">
        <v>396.32400000000001</v>
      </c>
      <c r="G200" s="516">
        <v>5196.241</v>
      </c>
    </row>
    <row r="201" spans="1:7" x14ac:dyDescent="0.2">
      <c r="A201" s="513">
        <v>1795</v>
      </c>
      <c r="B201" s="514">
        <v>43150</v>
      </c>
      <c r="C201" s="515" t="s">
        <v>192</v>
      </c>
      <c r="D201" s="516">
        <v>5675.8639999999996</v>
      </c>
      <c r="E201" s="516">
        <v>483.81</v>
      </c>
      <c r="F201" s="516">
        <v>483.81</v>
      </c>
      <c r="G201" s="516">
        <v>6643.4840000000004</v>
      </c>
    </row>
    <row r="202" spans="1:7" x14ac:dyDescent="0.2">
      <c r="A202" s="513">
        <v>1796</v>
      </c>
      <c r="B202" s="514">
        <v>43150</v>
      </c>
      <c r="C202" s="515" t="s">
        <v>127</v>
      </c>
      <c r="D202" s="516">
        <v>2564.1030000000001</v>
      </c>
      <c r="E202" s="516">
        <v>230.77</v>
      </c>
      <c r="F202" s="516">
        <v>230.77</v>
      </c>
      <c r="G202" s="516">
        <v>3025.643</v>
      </c>
    </row>
    <row r="203" spans="1:7" x14ac:dyDescent="0.2">
      <c r="A203" s="513">
        <v>1797</v>
      </c>
      <c r="B203" s="514">
        <v>43152</v>
      </c>
      <c r="C203" s="515" t="s">
        <v>129</v>
      </c>
      <c r="D203" s="516">
        <v>12716.683000000001</v>
      </c>
      <c r="E203" s="516">
        <v>878.18399999999997</v>
      </c>
      <c r="F203" s="516">
        <v>878.18399999999997</v>
      </c>
      <c r="G203" s="516">
        <v>14473.050999999999</v>
      </c>
    </row>
    <row r="204" spans="1:7" x14ac:dyDescent="0.2">
      <c r="A204" s="513">
        <v>1798</v>
      </c>
      <c r="B204" s="514">
        <v>43152</v>
      </c>
      <c r="C204" s="515" t="s">
        <v>127</v>
      </c>
      <c r="D204" s="516">
        <v>1431.819</v>
      </c>
      <c r="E204" s="516">
        <v>85.909000000000006</v>
      </c>
      <c r="F204" s="516">
        <v>85.909000000000006</v>
      </c>
      <c r="G204" s="516">
        <v>1603.6369999999999</v>
      </c>
    </row>
    <row r="205" spans="1:7" x14ac:dyDescent="0.2">
      <c r="A205" s="513">
        <v>1799</v>
      </c>
      <c r="B205" s="514">
        <v>43152</v>
      </c>
      <c r="C205" s="515" t="s">
        <v>129</v>
      </c>
      <c r="D205" s="516">
        <v>7857.6980000000003</v>
      </c>
      <c r="E205" s="516">
        <v>707.19299999999998</v>
      </c>
      <c r="F205" s="516">
        <v>707.19299999999998</v>
      </c>
      <c r="G205" s="516">
        <v>9272.0840000000007</v>
      </c>
    </row>
    <row r="206" spans="1:7" x14ac:dyDescent="0.2">
      <c r="A206" s="513">
        <v>1800</v>
      </c>
      <c r="B206" s="514">
        <v>43152</v>
      </c>
      <c r="C206" s="515" t="s">
        <v>130</v>
      </c>
      <c r="D206" s="516">
        <v>5727.6620000000003</v>
      </c>
      <c r="E206" s="516">
        <v>515.49</v>
      </c>
      <c r="F206" s="516">
        <v>515.49</v>
      </c>
      <c r="G206" s="516">
        <v>6758.6419999999998</v>
      </c>
    </row>
    <row r="207" spans="1:7" x14ac:dyDescent="0.2">
      <c r="A207" s="513">
        <v>1801</v>
      </c>
      <c r="B207" s="514">
        <v>43152</v>
      </c>
      <c r="C207" s="515" t="s">
        <v>130</v>
      </c>
      <c r="D207" s="516">
        <v>6600.8370000000004</v>
      </c>
      <c r="E207" s="516">
        <v>424.791</v>
      </c>
      <c r="F207" s="516">
        <v>424.791</v>
      </c>
      <c r="G207" s="516">
        <v>7450.4189999999999</v>
      </c>
    </row>
    <row r="208" spans="1:7" x14ac:dyDescent="0.2">
      <c r="A208" s="513">
        <v>1802</v>
      </c>
      <c r="B208" s="514">
        <v>43152</v>
      </c>
      <c r="C208" s="515" t="s">
        <v>129</v>
      </c>
      <c r="D208" s="516">
        <v>6180.2830000000004</v>
      </c>
      <c r="E208" s="516">
        <v>308.81799999999998</v>
      </c>
      <c r="F208" s="516">
        <v>308.81799999999998</v>
      </c>
      <c r="G208" s="516">
        <v>6797.9189999999999</v>
      </c>
    </row>
    <row r="209" spans="1:7" x14ac:dyDescent="0.2">
      <c r="A209" s="513">
        <v>1803</v>
      </c>
      <c r="B209" s="514">
        <v>43153</v>
      </c>
      <c r="C209" s="515" t="s">
        <v>128</v>
      </c>
      <c r="D209" s="516">
        <v>7751.79</v>
      </c>
      <c r="E209" s="516">
        <v>391.65</v>
      </c>
      <c r="F209" s="516">
        <v>391.65</v>
      </c>
      <c r="G209" s="516">
        <v>8535.08</v>
      </c>
    </row>
    <row r="210" spans="1:7" x14ac:dyDescent="0.2">
      <c r="A210" s="513">
        <v>1804</v>
      </c>
      <c r="B210" s="514">
        <v>43153</v>
      </c>
      <c r="C210" s="515" t="s">
        <v>131</v>
      </c>
      <c r="D210" s="516">
        <v>3626.5320000000002</v>
      </c>
      <c r="E210" s="516">
        <v>187.904</v>
      </c>
      <c r="F210" s="516">
        <v>187.904</v>
      </c>
      <c r="G210" s="516">
        <v>4002.34</v>
      </c>
    </row>
    <row r="211" spans="1:7" x14ac:dyDescent="0.2">
      <c r="A211" s="513">
        <v>1805</v>
      </c>
      <c r="B211" s="514">
        <v>43153</v>
      </c>
      <c r="C211" s="515" t="s">
        <v>126</v>
      </c>
      <c r="D211" s="516">
        <v>3580.9630000000002</v>
      </c>
      <c r="E211" s="516">
        <v>213.18899999999999</v>
      </c>
      <c r="F211" s="516">
        <v>213.18899999999999</v>
      </c>
      <c r="G211" s="516">
        <v>4007.3409999999999</v>
      </c>
    </row>
    <row r="212" spans="1:7" x14ac:dyDescent="0.2">
      <c r="A212" s="513">
        <v>1806</v>
      </c>
      <c r="B212" s="514">
        <v>43153</v>
      </c>
      <c r="C212" s="515" t="s">
        <v>124</v>
      </c>
      <c r="D212" s="516">
        <v>5756.8770000000004</v>
      </c>
      <c r="E212" s="516">
        <v>278.50099999999998</v>
      </c>
      <c r="F212" s="516">
        <v>278.50099999999998</v>
      </c>
      <c r="G212" s="516">
        <v>6313.8789999999999</v>
      </c>
    </row>
    <row r="213" spans="1:7" x14ac:dyDescent="0.2">
      <c r="A213" s="513">
        <v>1807</v>
      </c>
      <c r="B213" s="514">
        <v>43153</v>
      </c>
      <c r="C213" s="515" t="s">
        <v>123</v>
      </c>
      <c r="D213" s="516">
        <v>3881.7820000000002</v>
      </c>
      <c r="E213" s="516">
        <v>220.358</v>
      </c>
      <c r="F213" s="516">
        <v>220.358</v>
      </c>
      <c r="G213" s="516">
        <v>4322.4979999999996</v>
      </c>
    </row>
    <row r="214" spans="1:7" x14ac:dyDescent="0.2">
      <c r="A214" s="513">
        <v>1808</v>
      </c>
      <c r="B214" s="514">
        <v>43153</v>
      </c>
      <c r="C214" s="515" t="s">
        <v>124</v>
      </c>
      <c r="D214" s="516">
        <v>2990.91</v>
      </c>
      <c r="E214" s="516">
        <v>179.46</v>
      </c>
      <c r="F214" s="516">
        <v>179.46</v>
      </c>
      <c r="G214" s="516">
        <v>3349.82</v>
      </c>
    </row>
    <row r="215" spans="1:7" x14ac:dyDescent="0.2">
      <c r="A215" s="513">
        <v>1809</v>
      </c>
      <c r="B215" s="514">
        <v>43153</v>
      </c>
      <c r="C215" s="515" t="s">
        <v>128</v>
      </c>
      <c r="D215" s="516">
        <v>12866.95</v>
      </c>
      <c r="E215" s="516">
        <v>1158.0260000000001</v>
      </c>
      <c r="F215" s="516">
        <v>1158.0260000000001</v>
      </c>
      <c r="G215" s="516">
        <v>15183.002</v>
      </c>
    </row>
    <row r="216" spans="1:7" x14ac:dyDescent="0.2">
      <c r="A216" s="513">
        <v>1810</v>
      </c>
      <c r="B216" s="514">
        <v>43153</v>
      </c>
      <c r="C216" s="515" t="s">
        <v>128</v>
      </c>
      <c r="D216" s="516">
        <v>1067.797</v>
      </c>
      <c r="E216" s="516">
        <v>96.102000000000004</v>
      </c>
      <c r="F216" s="516">
        <v>96.102000000000004</v>
      </c>
      <c r="G216" s="516">
        <v>1260.001</v>
      </c>
    </row>
    <row r="217" spans="1:7" x14ac:dyDescent="0.2">
      <c r="A217" s="513">
        <v>1811</v>
      </c>
      <c r="B217" s="514">
        <v>43154</v>
      </c>
      <c r="C217" s="515" t="s">
        <v>135</v>
      </c>
      <c r="D217" s="516">
        <v>2172.96</v>
      </c>
      <c r="E217" s="516">
        <v>195.56700000000001</v>
      </c>
      <c r="F217" s="516">
        <v>195.56700000000001</v>
      </c>
      <c r="G217" s="516">
        <v>2564.0940000000001</v>
      </c>
    </row>
    <row r="218" spans="1:7" x14ac:dyDescent="0.2">
      <c r="A218" s="513">
        <v>1812</v>
      </c>
      <c r="B218" s="514">
        <v>43155</v>
      </c>
      <c r="C218" s="515" t="s">
        <v>130</v>
      </c>
      <c r="D218" s="516">
        <v>16343.306</v>
      </c>
      <c r="E218" s="516">
        <v>1442.1369999999999</v>
      </c>
      <c r="F218" s="516">
        <v>1442.1369999999999</v>
      </c>
      <c r="G218" s="516">
        <v>19227.580000000002</v>
      </c>
    </row>
    <row r="219" spans="1:7" x14ac:dyDescent="0.2">
      <c r="A219" s="513">
        <v>1813</v>
      </c>
      <c r="B219" s="514">
        <v>43155</v>
      </c>
      <c r="C219" s="515" t="s">
        <v>125</v>
      </c>
      <c r="D219" s="516">
        <v>4547.6329999999998</v>
      </c>
      <c r="E219" s="516">
        <v>231.053</v>
      </c>
      <c r="F219" s="516">
        <v>231.053</v>
      </c>
      <c r="G219" s="516">
        <v>5009.7389999999996</v>
      </c>
    </row>
    <row r="220" spans="1:7" x14ac:dyDescent="0.2">
      <c r="A220" s="513">
        <v>1814</v>
      </c>
      <c r="B220" s="514">
        <v>43155</v>
      </c>
      <c r="C220" s="515" t="s">
        <v>125</v>
      </c>
      <c r="D220" s="516">
        <v>13825.831</v>
      </c>
      <c r="E220" s="516">
        <v>1244.326</v>
      </c>
      <c r="F220" s="516">
        <v>1244.326</v>
      </c>
      <c r="G220" s="516">
        <v>16314.483</v>
      </c>
    </row>
    <row r="221" spans="1:7" x14ac:dyDescent="0.2">
      <c r="A221" s="513">
        <v>1815</v>
      </c>
      <c r="B221" s="514">
        <v>43155</v>
      </c>
      <c r="C221" s="515" t="s">
        <v>125</v>
      </c>
      <c r="D221" s="516">
        <v>6953.4939999999997</v>
      </c>
      <c r="E221" s="516">
        <v>625.81500000000005</v>
      </c>
      <c r="F221" s="516">
        <v>625.81500000000005</v>
      </c>
      <c r="G221" s="516">
        <v>8205.1239999999998</v>
      </c>
    </row>
    <row r="222" spans="1:7" x14ac:dyDescent="0.2">
      <c r="A222" s="513">
        <v>1816</v>
      </c>
      <c r="B222" s="514">
        <v>43155</v>
      </c>
      <c r="C222" s="515" t="s">
        <v>122</v>
      </c>
      <c r="D222" s="516">
        <v>6292.2820000000002</v>
      </c>
      <c r="E222" s="516">
        <v>554.851</v>
      </c>
      <c r="F222" s="516">
        <v>554.851</v>
      </c>
      <c r="G222" s="516">
        <v>7401.9840000000004</v>
      </c>
    </row>
    <row r="223" spans="1:7" x14ac:dyDescent="0.2">
      <c r="A223" s="513">
        <v>1817</v>
      </c>
      <c r="B223" s="514">
        <v>43158</v>
      </c>
      <c r="C223" s="515" t="s">
        <v>132</v>
      </c>
      <c r="D223" s="516">
        <v>5454.31</v>
      </c>
      <c r="E223" s="516">
        <v>490.89</v>
      </c>
      <c r="F223" s="516">
        <v>490.89</v>
      </c>
      <c r="G223" s="516">
        <v>6436.08</v>
      </c>
    </row>
    <row r="224" spans="1:7" x14ac:dyDescent="0.2">
      <c r="A224" s="513">
        <v>1818</v>
      </c>
      <c r="B224" s="514">
        <v>43158</v>
      </c>
      <c r="C224" s="515" t="s">
        <v>130</v>
      </c>
      <c r="D224" s="516">
        <v>7658.2330000000002</v>
      </c>
      <c r="E224" s="516">
        <v>689.24099999999999</v>
      </c>
      <c r="F224" s="516">
        <v>689.24099999999999</v>
      </c>
      <c r="G224" s="516">
        <v>9036.7150000000001</v>
      </c>
    </row>
    <row r="225" spans="1:7" x14ac:dyDescent="0.2">
      <c r="A225" s="513">
        <v>1819</v>
      </c>
      <c r="B225" s="514">
        <v>43160</v>
      </c>
      <c r="C225" s="515" t="s">
        <v>133</v>
      </c>
      <c r="D225" s="516">
        <v>6258.1409999999996</v>
      </c>
      <c r="E225" s="516">
        <v>563.23299999999995</v>
      </c>
      <c r="F225" s="516">
        <v>563.23299999999995</v>
      </c>
      <c r="G225" s="516">
        <v>7384.607</v>
      </c>
    </row>
    <row r="226" spans="1:7" x14ac:dyDescent="0.2">
      <c r="A226" s="513">
        <v>1820</v>
      </c>
      <c r="B226" s="514">
        <v>43161</v>
      </c>
      <c r="C226" s="515" t="s">
        <v>128</v>
      </c>
      <c r="D226" s="516">
        <v>10537.012000000001</v>
      </c>
      <c r="E226" s="516">
        <v>948.33100000000002</v>
      </c>
      <c r="F226" s="516">
        <v>948.33100000000002</v>
      </c>
      <c r="G226" s="516">
        <v>12433.674000000001</v>
      </c>
    </row>
    <row r="227" spans="1:7" x14ac:dyDescent="0.2">
      <c r="A227" s="513">
        <v>1821</v>
      </c>
      <c r="B227" s="514">
        <v>43161</v>
      </c>
      <c r="C227" s="515" t="s">
        <v>128</v>
      </c>
      <c r="D227" s="516">
        <v>14637.516</v>
      </c>
      <c r="E227" s="516">
        <v>1271.2529999999999</v>
      </c>
      <c r="F227" s="516">
        <v>1271.2529999999999</v>
      </c>
      <c r="G227" s="516">
        <v>17180.022000000001</v>
      </c>
    </row>
    <row r="228" spans="1:7" x14ac:dyDescent="0.2">
      <c r="A228" s="513">
        <v>1822</v>
      </c>
      <c r="B228" s="514">
        <v>43162</v>
      </c>
      <c r="C228" s="515" t="s">
        <v>130</v>
      </c>
      <c r="D228" s="516">
        <v>6594.71</v>
      </c>
      <c r="E228" s="516">
        <v>593.52</v>
      </c>
      <c r="F228" s="516">
        <v>593.52</v>
      </c>
      <c r="G228" s="516">
        <v>7781.76</v>
      </c>
    </row>
    <row r="229" spans="1:7" x14ac:dyDescent="0.2">
      <c r="A229" s="513">
        <v>1823</v>
      </c>
      <c r="B229" s="514">
        <v>43162</v>
      </c>
      <c r="C229" s="515" t="s">
        <v>129</v>
      </c>
      <c r="D229" s="516">
        <v>10169.486000000001</v>
      </c>
      <c r="E229" s="516">
        <v>915.25400000000002</v>
      </c>
      <c r="F229" s="516">
        <v>915.25400000000002</v>
      </c>
      <c r="G229" s="516">
        <v>11999.994000000001</v>
      </c>
    </row>
    <row r="230" spans="1:7" x14ac:dyDescent="0.2">
      <c r="A230" s="513">
        <v>1824</v>
      </c>
      <c r="B230" s="514">
        <v>43164</v>
      </c>
      <c r="C230" s="515" t="s">
        <v>128</v>
      </c>
      <c r="D230" s="516">
        <v>12328.998</v>
      </c>
      <c r="E230" s="516">
        <v>1109.6099999999999</v>
      </c>
      <c r="F230" s="516">
        <v>1109.6099999999999</v>
      </c>
      <c r="G230" s="516">
        <v>14548.218000000001</v>
      </c>
    </row>
    <row r="231" spans="1:7" x14ac:dyDescent="0.2">
      <c r="A231" s="513">
        <v>1825</v>
      </c>
      <c r="B231" s="514">
        <v>43164</v>
      </c>
      <c r="C231" s="515" t="s">
        <v>130</v>
      </c>
      <c r="D231" s="516">
        <v>6834.9870000000001</v>
      </c>
      <c r="E231" s="516">
        <v>615.14800000000002</v>
      </c>
      <c r="F231" s="516">
        <v>615.14800000000002</v>
      </c>
      <c r="G231" s="516">
        <v>8065.2830000000004</v>
      </c>
    </row>
    <row r="232" spans="1:7" x14ac:dyDescent="0.2">
      <c r="A232" s="513">
        <v>1826</v>
      </c>
      <c r="B232" s="514">
        <v>43165</v>
      </c>
      <c r="C232" s="515" t="s">
        <v>123</v>
      </c>
      <c r="D232" s="516">
        <v>10169.491</v>
      </c>
      <c r="E232" s="516">
        <v>915.25400000000002</v>
      </c>
      <c r="F232" s="516">
        <v>915.25400000000002</v>
      </c>
      <c r="G232" s="516">
        <v>11999.999</v>
      </c>
    </row>
    <row r="233" spans="1:7" x14ac:dyDescent="0.2">
      <c r="A233" s="513">
        <v>1827</v>
      </c>
      <c r="B233" s="514">
        <v>43165</v>
      </c>
      <c r="C233" s="515" t="s">
        <v>129</v>
      </c>
      <c r="D233" s="516">
        <v>15205.425999999999</v>
      </c>
      <c r="E233" s="516">
        <v>1368.489</v>
      </c>
      <c r="F233" s="516">
        <v>1368.489</v>
      </c>
      <c r="G233" s="516">
        <v>17942.403999999999</v>
      </c>
    </row>
    <row r="234" spans="1:7" x14ac:dyDescent="0.2">
      <c r="A234" s="513">
        <v>1828</v>
      </c>
      <c r="B234" s="514">
        <v>43165</v>
      </c>
      <c r="C234" s="515" t="s">
        <v>138</v>
      </c>
      <c r="D234" s="516">
        <v>5364.7780000000002</v>
      </c>
      <c r="E234" s="516">
        <v>482.83</v>
      </c>
      <c r="F234" s="516">
        <v>482.83</v>
      </c>
      <c r="G234" s="516">
        <v>6330.4380000000001</v>
      </c>
    </row>
    <row r="235" spans="1:7" x14ac:dyDescent="0.2">
      <c r="A235" s="513">
        <v>1829</v>
      </c>
      <c r="B235" s="514">
        <v>43168</v>
      </c>
      <c r="C235" s="515" t="s">
        <v>137</v>
      </c>
      <c r="D235" s="516">
        <v>1490.683</v>
      </c>
      <c r="E235" s="516">
        <v>89.441000000000003</v>
      </c>
      <c r="F235" s="516">
        <v>89.441000000000003</v>
      </c>
      <c r="G235" s="516">
        <v>1669.5650000000001</v>
      </c>
    </row>
    <row r="236" spans="1:7" x14ac:dyDescent="0.2">
      <c r="A236" s="513">
        <v>1830</v>
      </c>
      <c r="B236" s="514">
        <v>43168</v>
      </c>
      <c r="C236" s="515" t="s">
        <v>132</v>
      </c>
      <c r="D236" s="516">
        <v>7086.05</v>
      </c>
      <c r="E236" s="516">
        <v>621.30899999999997</v>
      </c>
      <c r="F236" s="516">
        <v>621.30899999999997</v>
      </c>
      <c r="G236" s="516">
        <v>8328.6679999999997</v>
      </c>
    </row>
    <row r="237" spans="1:7" x14ac:dyDescent="0.2">
      <c r="A237" s="513">
        <v>1831</v>
      </c>
      <c r="B237" s="514">
        <v>43169</v>
      </c>
      <c r="C237" s="515" t="s">
        <v>130</v>
      </c>
      <c r="D237" s="516">
        <v>12010.576999999999</v>
      </c>
      <c r="E237" s="516">
        <v>1080.953</v>
      </c>
      <c r="F237" s="516">
        <v>1080.953</v>
      </c>
      <c r="G237" s="516">
        <v>14172.483</v>
      </c>
    </row>
    <row r="238" spans="1:7" x14ac:dyDescent="0.2">
      <c r="A238" s="513">
        <v>1832</v>
      </c>
      <c r="B238" s="514">
        <v>43169</v>
      </c>
      <c r="C238" s="515" t="s">
        <v>128</v>
      </c>
      <c r="D238" s="516">
        <v>2712.203</v>
      </c>
      <c r="E238" s="516">
        <v>244.09800000000001</v>
      </c>
      <c r="F238" s="516">
        <v>244.09800000000001</v>
      </c>
      <c r="G238" s="516">
        <v>3200.3989999999999</v>
      </c>
    </row>
    <row r="239" spans="1:7" x14ac:dyDescent="0.2">
      <c r="A239" s="513">
        <v>1833</v>
      </c>
      <c r="B239" s="514">
        <v>43169</v>
      </c>
      <c r="C239" s="515" t="s">
        <v>128</v>
      </c>
      <c r="D239" s="516">
        <v>4772.7269999999999</v>
      </c>
      <c r="E239" s="516">
        <v>286.36399999999998</v>
      </c>
      <c r="F239" s="516">
        <v>286.36399999999998</v>
      </c>
      <c r="G239" s="516">
        <v>5345.4549999999999</v>
      </c>
    </row>
    <row r="240" spans="1:7" x14ac:dyDescent="0.2">
      <c r="A240" s="513">
        <v>1834</v>
      </c>
      <c r="B240" s="514">
        <v>43171</v>
      </c>
      <c r="C240" s="515" t="s">
        <v>128</v>
      </c>
      <c r="D240" s="516">
        <v>15205.415999999999</v>
      </c>
      <c r="E240" s="516">
        <v>1368.4880000000001</v>
      </c>
      <c r="F240" s="516">
        <v>1368.4880000000001</v>
      </c>
      <c r="G240" s="516">
        <v>17942.392</v>
      </c>
    </row>
    <row r="241" spans="1:7" x14ac:dyDescent="0.2">
      <c r="A241" s="513">
        <v>1835</v>
      </c>
      <c r="B241" s="514">
        <v>43173</v>
      </c>
      <c r="C241" s="515" t="s">
        <v>133</v>
      </c>
      <c r="D241" s="516">
        <v>2976.89</v>
      </c>
      <c r="E241" s="516">
        <v>210.65</v>
      </c>
      <c r="F241" s="516">
        <v>210.65</v>
      </c>
      <c r="G241" s="516">
        <v>3398.18</v>
      </c>
    </row>
    <row r="242" spans="1:7" x14ac:dyDescent="0.2">
      <c r="A242" s="513">
        <v>1836</v>
      </c>
      <c r="B242" s="514">
        <v>43174</v>
      </c>
      <c r="C242" s="515" t="s">
        <v>125</v>
      </c>
      <c r="D242" s="516">
        <v>7361.07</v>
      </c>
      <c r="E242" s="516">
        <v>420.36</v>
      </c>
      <c r="F242" s="516">
        <v>420.36</v>
      </c>
      <c r="G242" s="516">
        <v>8201.7900000000009</v>
      </c>
    </row>
    <row r="243" spans="1:7" x14ac:dyDescent="0.2">
      <c r="A243" s="513">
        <v>1837</v>
      </c>
      <c r="B243" s="514">
        <v>43174</v>
      </c>
      <c r="C243" s="515" t="s">
        <v>122</v>
      </c>
      <c r="D243" s="516">
        <v>2456.92</v>
      </c>
      <c r="E243" s="516">
        <v>147.41499999999999</v>
      </c>
      <c r="F243" s="516">
        <v>147.41499999999999</v>
      </c>
      <c r="G243" s="516">
        <v>2751.75</v>
      </c>
    </row>
    <row r="244" spans="1:7" x14ac:dyDescent="0.2">
      <c r="A244" s="513">
        <v>1838</v>
      </c>
      <c r="B244" s="514">
        <v>43176</v>
      </c>
      <c r="C244" s="515" t="s">
        <v>147</v>
      </c>
      <c r="D244" s="516">
        <v>4598.3810000000003</v>
      </c>
      <c r="E244" s="516">
        <v>413.85399999999998</v>
      </c>
      <c r="F244" s="516">
        <v>413.85399999999998</v>
      </c>
      <c r="G244" s="516">
        <v>5426.0889999999999</v>
      </c>
    </row>
    <row r="245" spans="1:7" x14ac:dyDescent="0.2">
      <c r="A245" s="513">
        <v>1839</v>
      </c>
      <c r="B245" s="514">
        <v>43176</v>
      </c>
      <c r="C245" s="515" t="s">
        <v>128</v>
      </c>
      <c r="D245" s="516">
        <v>7912.3739999999998</v>
      </c>
      <c r="E245" s="516">
        <v>712.11500000000001</v>
      </c>
      <c r="F245" s="516">
        <v>712.11500000000001</v>
      </c>
      <c r="G245" s="516">
        <v>9336.6039999999994</v>
      </c>
    </row>
    <row r="246" spans="1:7" x14ac:dyDescent="0.2">
      <c r="A246" s="513">
        <v>1840</v>
      </c>
      <c r="B246" s="514">
        <v>43176</v>
      </c>
      <c r="C246" s="515" t="s">
        <v>130</v>
      </c>
      <c r="D246" s="516">
        <v>9973.2160000000003</v>
      </c>
      <c r="E246" s="516">
        <v>897.59</v>
      </c>
      <c r="F246" s="516">
        <v>897.59</v>
      </c>
      <c r="G246" s="516">
        <v>11768.396000000001</v>
      </c>
    </row>
    <row r="247" spans="1:7" x14ac:dyDescent="0.2">
      <c r="A247" s="513">
        <v>1841</v>
      </c>
      <c r="B247" s="514">
        <v>43176</v>
      </c>
      <c r="C247" s="515" t="s">
        <v>130</v>
      </c>
      <c r="D247" s="516">
        <v>929.64599999999996</v>
      </c>
      <c r="E247" s="516">
        <v>55.779000000000003</v>
      </c>
      <c r="F247" s="516">
        <v>55.779000000000003</v>
      </c>
      <c r="G247" s="516">
        <v>1041.204</v>
      </c>
    </row>
    <row r="248" spans="1:7" x14ac:dyDescent="0.2">
      <c r="A248" s="513">
        <v>1842</v>
      </c>
      <c r="B248" s="514">
        <v>43176</v>
      </c>
      <c r="C248" s="515" t="s">
        <v>124</v>
      </c>
      <c r="D248" s="516">
        <v>11814.1</v>
      </c>
      <c r="E248" s="516">
        <v>1063.27</v>
      </c>
      <c r="F248" s="516">
        <v>1063.27</v>
      </c>
      <c r="G248" s="516">
        <v>13940.64</v>
      </c>
    </row>
    <row r="249" spans="1:7" x14ac:dyDescent="0.2">
      <c r="A249" s="513">
        <v>1843</v>
      </c>
      <c r="B249" s="514">
        <v>43176</v>
      </c>
      <c r="C249" s="515" t="s">
        <v>129</v>
      </c>
      <c r="D249" s="516">
        <v>13288.698</v>
      </c>
      <c r="E249" s="516">
        <v>1195.9839999999999</v>
      </c>
      <c r="F249" s="516">
        <v>1195.9839999999999</v>
      </c>
      <c r="G249" s="516">
        <v>15680.665999999999</v>
      </c>
    </row>
    <row r="250" spans="1:7" x14ac:dyDescent="0.2">
      <c r="A250" s="513">
        <v>1844</v>
      </c>
      <c r="B250" s="514">
        <v>43178</v>
      </c>
      <c r="C250" s="515" t="s">
        <v>128</v>
      </c>
      <c r="D250" s="516">
        <v>8213.8130000000001</v>
      </c>
      <c r="E250" s="516">
        <v>739.24400000000003</v>
      </c>
      <c r="F250" s="516">
        <v>739.24400000000003</v>
      </c>
      <c r="G250" s="516">
        <v>9692.3009999999995</v>
      </c>
    </row>
    <row r="251" spans="1:7" x14ac:dyDescent="0.2">
      <c r="A251" s="513">
        <v>1845</v>
      </c>
      <c r="B251" s="514">
        <v>43179</v>
      </c>
      <c r="C251" s="515" t="s">
        <v>125</v>
      </c>
      <c r="D251" s="516">
        <v>5640.1030000000001</v>
      </c>
      <c r="E251" s="516">
        <v>507.60899999999998</v>
      </c>
      <c r="F251" s="516">
        <v>507.60899999999998</v>
      </c>
      <c r="G251" s="516">
        <v>6655.3209999999999</v>
      </c>
    </row>
    <row r="252" spans="1:7" x14ac:dyDescent="0.2">
      <c r="A252" s="513">
        <v>1846</v>
      </c>
      <c r="B252" s="514">
        <v>43179</v>
      </c>
      <c r="C252" s="515" t="s">
        <v>123</v>
      </c>
      <c r="D252" s="516">
        <v>3200.5419999999999</v>
      </c>
      <c r="E252" s="516">
        <v>288.04899999999998</v>
      </c>
      <c r="F252" s="516">
        <v>288.04899999999998</v>
      </c>
      <c r="G252" s="516">
        <v>3776.64</v>
      </c>
    </row>
    <row r="253" spans="1:7" x14ac:dyDescent="0.2">
      <c r="A253" s="513">
        <v>1847</v>
      </c>
      <c r="B253" s="514">
        <v>43192</v>
      </c>
      <c r="C253" s="515" t="s">
        <v>132</v>
      </c>
      <c r="D253" s="516">
        <v>17672.3</v>
      </c>
      <c r="E253" s="516">
        <v>1590.51</v>
      </c>
      <c r="F253" s="516">
        <v>1590.51</v>
      </c>
      <c r="G253" s="516">
        <v>20853.32</v>
      </c>
    </row>
    <row r="254" spans="1:7" x14ac:dyDescent="0.2">
      <c r="A254" s="513">
        <v>1848</v>
      </c>
      <c r="B254" s="514">
        <v>43192</v>
      </c>
      <c r="C254" s="515" t="s">
        <v>130</v>
      </c>
      <c r="D254" s="516">
        <v>18363.04</v>
      </c>
      <c r="E254" s="516">
        <v>1578.97</v>
      </c>
      <c r="F254" s="516">
        <v>1578.97</v>
      </c>
      <c r="G254" s="516">
        <v>21520.97</v>
      </c>
    </row>
    <row r="255" spans="1:7" x14ac:dyDescent="0.2">
      <c r="A255" s="513">
        <v>1849</v>
      </c>
      <c r="B255" s="514">
        <v>43192</v>
      </c>
      <c r="C255" s="515" t="s">
        <v>130</v>
      </c>
      <c r="D255" s="516">
        <v>13189.421</v>
      </c>
      <c r="E255" s="516">
        <v>1187.049</v>
      </c>
      <c r="F255" s="516">
        <v>1187.049</v>
      </c>
      <c r="G255" s="516">
        <v>15563.519</v>
      </c>
    </row>
    <row r="256" spans="1:7" x14ac:dyDescent="0.2">
      <c r="A256" s="513">
        <v>1850</v>
      </c>
      <c r="B256" s="514">
        <v>43192</v>
      </c>
      <c r="C256" s="515" t="s">
        <v>133</v>
      </c>
      <c r="D256" s="516">
        <v>9564.1949999999997</v>
      </c>
      <c r="E256" s="516">
        <v>860.779</v>
      </c>
      <c r="F256" s="516">
        <v>860.779</v>
      </c>
      <c r="G256" s="516">
        <v>11285.753000000001</v>
      </c>
    </row>
    <row r="257" spans="1:7" x14ac:dyDescent="0.2">
      <c r="A257" s="513">
        <v>1851</v>
      </c>
      <c r="B257" s="514">
        <v>43193</v>
      </c>
      <c r="C257" s="515" t="s">
        <v>131</v>
      </c>
      <c r="D257" s="516">
        <v>12720.951999999999</v>
      </c>
      <c r="E257" s="516">
        <v>1054.7429999999999</v>
      </c>
      <c r="F257" s="516">
        <v>1054.7429999999999</v>
      </c>
      <c r="G257" s="516">
        <v>14830.438</v>
      </c>
    </row>
    <row r="258" spans="1:7" x14ac:dyDescent="0.2">
      <c r="A258" s="513">
        <v>1852</v>
      </c>
      <c r="B258" s="514">
        <v>43193</v>
      </c>
      <c r="C258" s="515" t="s">
        <v>121</v>
      </c>
      <c r="D258" s="516">
        <v>10012.700999999999</v>
      </c>
      <c r="E258" s="516">
        <v>815.23400000000004</v>
      </c>
      <c r="F258" s="516">
        <v>815.23400000000004</v>
      </c>
      <c r="G258" s="516">
        <v>11643.169</v>
      </c>
    </row>
    <row r="259" spans="1:7" x14ac:dyDescent="0.2">
      <c r="A259" s="513">
        <v>1853</v>
      </c>
      <c r="B259" s="514">
        <v>43193</v>
      </c>
      <c r="C259" s="515" t="s">
        <v>124</v>
      </c>
      <c r="D259" s="516">
        <v>25667.83</v>
      </c>
      <c r="E259" s="516">
        <v>2050.8760000000002</v>
      </c>
      <c r="F259" s="516">
        <v>2050.8760000000002</v>
      </c>
      <c r="G259" s="516">
        <v>29769.581999999999</v>
      </c>
    </row>
    <row r="260" spans="1:7" x14ac:dyDescent="0.2">
      <c r="A260" s="513">
        <v>1854</v>
      </c>
      <c r="B260" s="514">
        <v>43194</v>
      </c>
      <c r="C260" s="515" t="s">
        <v>130</v>
      </c>
      <c r="D260" s="516">
        <v>8790.1029999999992</v>
      </c>
      <c r="E260" s="516">
        <v>791.10900000000004</v>
      </c>
      <c r="F260" s="516">
        <v>791.10900000000004</v>
      </c>
      <c r="G260" s="516">
        <v>10372.321</v>
      </c>
    </row>
    <row r="261" spans="1:7" x14ac:dyDescent="0.2">
      <c r="A261" s="513">
        <v>1855</v>
      </c>
      <c r="B261" s="514">
        <v>43194</v>
      </c>
      <c r="C261" s="515" t="s">
        <v>132</v>
      </c>
      <c r="D261" s="516">
        <v>3772.3980000000001</v>
      </c>
      <c r="E261" s="516">
        <v>242.65</v>
      </c>
      <c r="F261" s="516">
        <v>242.65</v>
      </c>
      <c r="G261" s="516">
        <v>4257.6980000000003</v>
      </c>
    </row>
    <row r="262" spans="1:7" x14ac:dyDescent="0.2">
      <c r="A262" s="513">
        <v>1856</v>
      </c>
      <c r="B262" s="514">
        <v>43194</v>
      </c>
      <c r="C262" s="515" t="s">
        <v>125</v>
      </c>
      <c r="D262" s="516">
        <v>5797.8280000000004</v>
      </c>
      <c r="E262" s="516">
        <v>347.86900000000003</v>
      </c>
      <c r="F262" s="516">
        <v>347.86900000000003</v>
      </c>
      <c r="G262" s="516">
        <v>6493.5659999999998</v>
      </c>
    </row>
    <row r="263" spans="1:7" x14ac:dyDescent="0.2">
      <c r="A263" s="513">
        <v>1857</v>
      </c>
      <c r="B263" s="514">
        <v>43194</v>
      </c>
      <c r="C263" s="515" t="s">
        <v>138</v>
      </c>
      <c r="D263" s="516">
        <v>6551.2179999999998</v>
      </c>
      <c r="E263" s="516">
        <v>589.61</v>
      </c>
      <c r="F263" s="516">
        <v>589.61</v>
      </c>
      <c r="G263" s="516">
        <v>7730.4380000000001</v>
      </c>
    </row>
    <row r="264" spans="1:7" x14ac:dyDescent="0.2">
      <c r="A264" s="513">
        <v>1858</v>
      </c>
      <c r="B264" s="514">
        <v>43194</v>
      </c>
      <c r="C264" s="515" t="s">
        <v>124</v>
      </c>
      <c r="D264" s="516">
        <v>8145.1469999999999</v>
      </c>
      <c r="E264" s="516">
        <v>733.06399999999996</v>
      </c>
      <c r="F264" s="516">
        <v>733.06399999999996</v>
      </c>
      <c r="G264" s="516">
        <v>9611.2749999999996</v>
      </c>
    </row>
    <row r="265" spans="1:7" x14ac:dyDescent="0.2">
      <c r="A265" s="513">
        <v>1859</v>
      </c>
      <c r="B265" s="514">
        <v>43195</v>
      </c>
      <c r="C265" s="515" t="s">
        <v>129</v>
      </c>
      <c r="D265" s="516">
        <v>28698.91</v>
      </c>
      <c r="E265" s="516">
        <v>2370.0990000000002</v>
      </c>
      <c r="F265" s="516">
        <v>2370.0990000000002</v>
      </c>
      <c r="G265" s="516">
        <v>33439.108</v>
      </c>
    </row>
    <row r="266" spans="1:7" x14ac:dyDescent="0.2">
      <c r="A266" s="513">
        <v>1860</v>
      </c>
      <c r="B266" s="514">
        <v>43195</v>
      </c>
      <c r="C266" s="515" t="s">
        <v>128</v>
      </c>
      <c r="D266" s="516">
        <v>16341.557000000001</v>
      </c>
      <c r="E266" s="516">
        <v>1470.741</v>
      </c>
      <c r="F266" s="516">
        <v>1470.741</v>
      </c>
      <c r="G266" s="516">
        <v>19283.039000000001</v>
      </c>
    </row>
    <row r="267" spans="1:7" x14ac:dyDescent="0.2">
      <c r="A267" s="513">
        <v>1861</v>
      </c>
      <c r="B267" s="514">
        <v>43195</v>
      </c>
      <c r="C267" s="515" t="s">
        <v>128</v>
      </c>
      <c r="D267" s="516">
        <v>20898.343000000001</v>
      </c>
      <c r="E267" s="516">
        <v>1709.502</v>
      </c>
      <c r="F267" s="516">
        <v>1709.502</v>
      </c>
      <c r="G267" s="516">
        <v>24317.347000000002</v>
      </c>
    </row>
    <row r="268" spans="1:7" x14ac:dyDescent="0.2">
      <c r="A268" s="513">
        <v>1862</v>
      </c>
      <c r="B268" s="514">
        <v>43196</v>
      </c>
      <c r="C268" s="515" t="s">
        <v>126</v>
      </c>
      <c r="D268" s="516">
        <v>16819.931</v>
      </c>
      <c r="E268" s="516">
        <v>1427.885</v>
      </c>
      <c r="F268" s="516">
        <v>1427.885</v>
      </c>
      <c r="G268" s="516">
        <v>19675.701000000001</v>
      </c>
    </row>
    <row r="269" spans="1:7" x14ac:dyDescent="0.2">
      <c r="A269" s="513">
        <v>1863</v>
      </c>
      <c r="B269" s="514">
        <v>43196</v>
      </c>
      <c r="C269" s="515" t="s">
        <v>123</v>
      </c>
      <c r="D269" s="516">
        <v>23878.238000000001</v>
      </c>
      <c r="E269" s="516">
        <v>2056.9050000000002</v>
      </c>
      <c r="F269" s="516">
        <v>2056.9050000000002</v>
      </c>
      <c r="G269" s="516">
        <v>27992.047999999999</v>
      </c>
    </row>
    <row r="270" spans="1:7" x14ac:dyDescent="0.2">
      <c r="A270" s="513">
        <v>1864</v>
      </c>
      <c r="B270" s="514">
        <v>43196</v>
      </c>
      <c r="C270" s="515" t="s">
        <v>123</v>
      </c>
      <c r="D270" s="516">
        <v>2346.8110000000001</v>
      </c>
      <c r="E270" s="516">
        <v>211.21299999999999</v>
      </c>
      <c r="F270" s="516">
        <v>211.21299999999999</v>
      </c>
      <c r="G270" s="516">
        <v>2769.2370000000001</v>
      </c>
    </row>
    <row r="271" spans="1:7" x14ac:dyDescent="0.2">
      <c r="A271" s="513">
        <v>1865</v>
      </c>
      <c r="B271" s="514">
        <v>43196</v>
      </c>
      <c r="C271" s="515" t="s">
        <v>126</v>
      </c>
      <c r="D271" s="516">
        <v>3302.9090000000001</v>
      </c>
      <c r="E271" s="516">
        <v>297.262</v>
      </c>
      <c r="F271" s="516">
        <v>297.262</v>
      </c>
      <c r="G271" s="516">
        <v>3897.433</v>
      </c>
    </row>
    <row r="272" spans="1:7" x14ac:dyDescent="0.2">
      <c r="A272" s="513">
        <v>1866</v>
      </c>
      <c r="B272" s="514">
        <v>43198</v>
      </c>
      <c r="C272" s="515" t="s">
        <v>122</v>
      </c>
      <c r="D272" s="516">
        <v>3476.7449999999999</v>
      </c>
      <c r="E272" s="516">
        <v>312.90699999999998</v>
      </c>
      <c r="F272" s="516">
        <v>312.90699999999998</v>
      </c>
      <c r="G272" s="516">
        <v>4102.5590000000002</v>
      </c>
    </row>
    <row r="273" spans="1:7" x14ac:dyDescent="0.2">
      <c r="A273" s="513">
        <v>1867</v>
      </c>
      <c r="B273" s="514">
        <v>43198</v>
      </c>
      <c r="C273" s="515" t="s">
        <v>124</v>
      </c>
      <c r="D273" s="516">
        <v>5562.7849999999999</v>
      </c>
      <c r="E273" s="516">
        <v>500.65100000000001</v>
      </c>
      <c r="F273" s="516">
        <v>500.65100000000001</v>
      </c>
      <c r="G273" s="516">
        <v>6564.0870000000004</v>
      </c>
    </row>
    <row r="274" spans="1:7" x14ac:dyDescent="0.2">
      <c r="A274" s="513">
        <v>1868</v>
      </c>
      <c r="B274" s="514">
        <v>43197</v>
      </c>
      <c r="C274" s="515" t="s">
        <v>125</v>
      </c>
      <c r="D274" s="516">
        <v>15228.208000000001</v>
      </c>
      <c r="E274" s="516">
        <v>1370.539</v>
      </c>
      <c r="F274" s="516">
        <v>1370.539</v>
      </c>
      <c r="G274" s="516">
        <v>17969.286</v>
      </c>
    </row>
    <row r="275" spans="1:7" x14ac:dyDescent="0.2">
      <c r="A275" s="513">
        <v>1869</v>
      </c>
      <c r="B275" s="514">
        <v>43199</v>
      </c>
      <c r="C275" s="515" t="s">
        <v>130</v>
      </c>
      <c r="D275" s="516">
        <v>8478.8410000000003</v>
      </c>
      <c r="E275" s="516">
        <v>763.096</v>
      </c>
      <c r="F275" s="516">
        <v>763.096</v>
      </c>
      <c r="G275" s="516">
        <v>10005.032999999999</v>
      </c>
    </row>
    <row r="276" spans="1:7" x14ac:dyDescent="0.2">
      <c r="A276" s="513">
        <v>1870</v>
      </c>
      <c r="B276" s="514">
        <v>43200</v>
      </c>
      <c r="C276" s="515" t="s">
        <v>128</v>
      </c>
      <c r="D276" s="516">
        <v>16047.686</v>
      </c>
      <c r="E276" s="516">
        <v>1344.0650000000001</v>
      </c>
      <c r="F276" s="516">
        <v>1344.0650000000001</v>
      </c>
      <c r="G276" s="516">
        <v>18735.815999999999</v>
      </c>
    </row>
    <row r="277" spans="1:7" x14ac:dyDescent="0.2">
      <c r="A277" s="513">
        <v>1871</v>
      </c>
      <c r="B277" s="514">
        <v>43200</v>
      </c>
      <c r="C277" s="515" t="s">
        <v>134</v>
      </c>
      <c r="D277" s="516">
        <v>3531.0720000000001</v>
      </c>
      <c r="E277" s="516">
        <v>317.79599999999999</v>
      </c>
      <c r="F277" s="516">
        <v>317.79599999999999</v>
      </c>
      <c r="G277" s="516">
        <v>4166.6639999999998</v>
      </c>
    </row>
    <row r="278" spans="1:7" x14ac:dyDescent="0.2">
      <c r="A278" s="513">
        <v>1872</v>
      </c>
      <c r="B278" s="514">
        <v>43201</v>
      </c>
      <c r="C278" s="515" t="s">
        <v>130</v>
      </c>
      <c r="D278" s="516">
        <v>6870.2939999999999</v>
      </c>
      <c r="E278" s="516">
        <v>374.18400000000003</v>
      </c>
      <c r="F278" s="516">
        <v>374.18400000000003</v>
      </c>
      <c r="G278" s="516">
        <v>7618.6620000000003</v>
      </c>
    </row>
    <row r="279" spans="1:7" x14ac:dyDescent="0.2">
      <c r="A279" s="513">
        <v>1873</v>
      </c>
      <c r="B279" s="514">
        <v>43202</v>
      </c>
      <c r="C279" s="515" t="s">
        <v>128</v>
      </c>
      <c r="D279" s="516">
        <v>8795.68</v>
      </c>
      <c r="E279" s="516">
        <v>467.44</v>
      </c>
      <c r="F279" s="516">
        <v>467.44</v>
      </c>
      <c r="G279" s="516">
        <v>9730.57</v>
      </c>
    </row>
    <row r="280" spans="1:7" x14ac:dyDescent="0.2">
      <c r="A280" s="513">
        <v>1874</v>
      </c>
      <c r="B280" s="514">
        <v>43202</v>
      </c>
      <c r="C280" s="515" t="s">
        <v>132</v>
      </c>
      <c r="D280" s="516">
        <v>8136.6059999999998</v>
      </c>
      <c r="E280" s="516">
        <v>732.29499999999996</v>
      </c>
      <c r="F280" s="516">
        <v>732.29499999999996</v>
      </c>
      <c r="G280" s="516">
        <v>9601.1959999999999</v>
      </c>
    </row>
    <row r="281" spans="1:7" x14ac:dyDescent="0.2">
      <c r="A281" s="513">
        <v>1875</v>
      </c>
      <c r="B281" s="514">
        <v>43202</v>
      </c>
      <c r="C281" s="515" t="s">
        <v>132</v>
      </c>
      <c r="D281" s="516">
        <v>4438.7219999999998</v>
      </c>
      <c r="E281" s="516">
        <v>205.929</v>
      </c>
      <c r="F281" s="516">
        <v>205.929</v>
      </c>
      <c r="G281" s="516">
        <v>4850.58</v>
      </c>
    </row>
    <row r="282" spans="1:7" x14ac:dyDescent="0.2">
      <c r="A282" s="513">
        <v>1876</v>
      </c>
      <c r="B282" s="514">
        <v>43203</v>
      </c>
      <c r="C282" s="515" t="s">
        <v>122</v>
      </c>
      <c r="D282" s="516">
        <v>4332.5460000000003</v>
      </c>
      <c r="E282" s="516">
        <v>290.46199999999999</v>
      </c>
      <c r="F282" s="516">
        <v>290.46199999999999</v>
      </c>
      <c r="G282" s="516">
        <v>4913.47</v>
      </c>
    </row>
    <row r="283" spans="1:7" x14ac:dyDescent="0.2">
      <c r="A283" s="513">
        <v>1877</v>
      </c>
      <c r="B283" s="514">
        <v>43203</v>
      </c>
      <c r="C283" s="515" t="s">
        <v>123</v>
      </c>
      <c r="D283" s="516">
        <v>9658.3870000000006</v>
      </c>
      <c r="E283" s="516">
        <v>527.83199999999999</v>
      </c>
      <c r="F283" s="516">
        <v>527.83199999999999</v>
      </c>
      <c r="G283" s="516">
        <v>10714.050999999999</v>
      </c>
    </row>
    <row r="284" spans="1:7" x14ac:dyDescent="0.2">
      <c r="A284" s="513">
        <v>1878</v>
      </c>
      <c r="B284" s="514">
        <v>43203</v>
      </c>
      <c r="C284" s="515" t="s">
        <v>124</v>
      </c>
      <c r="D284" s="516">
        <v>2265.6880000000001</v>
      </c>
      <c r="E284" s="516">
        <v>113.556</v>
      </c>
      <c r="F284" s="516">
        <v>113.556</v>
      </c>
      <c r="G284" s="516">
        <v>2492.8000000000002</v>
      </c>
    </row>
    <row r="285" spans="1:7" x14ac:dyDescent="0.2">
      <c r="A285" s="513">
        <v>1879</v>
      </c>
      <c r="B285" s="514">
        <v>43203</v>
      </c>
      <c r="C285" s="515" t="s">
        <v>129</v>
      </c>
      <c r="D285" s="516">
        <v>6798.357</v>
      </c>
      <c r="E285" s="516">
        <v>344.50400000000002</v>
      </c>
      <c r="F285" s="516">
        <v>344.50400000000002</v>
      </c>
      <c r="G285" s="516">
        <v>7487.3649999999998</v>
      </c>
    </row>
    <row r="286" spans="1:7" x14ac:dyDescent="0.2">
      <c r="A286" s="513">
        <v>1880</v>
      </c>
      <c r="B286" s="514">
        <v>43206</v>
      </c>
      <c r="C286" s="515" t="s">
        <v>130</v>
      </c>
      <c r="D286" s="516">
        <v>13785.968000000001</v>
      </c>
      <c r="E286" s="516">
        <v>1240.7370000000001</v>
      </c>
      <c r="F286" s="516">
        <v>1240.7370000000001</v>
      </c>
      <c r="G286" s="516">
        <v>16267.441999999999</v>
      </c>
    </row>
    <row r="287" spans="1:7" x14ac:dyDescent="0.2">
      <c r="A287" s="513">
        <v>1881</v>
      </c>
      <c r="B287" s="514">
        <v>43207</v>
      </c>
      <c r="C287" s="515" t="s">
        <v>128</v>
      </c>
      <c r="D287" s="516">
        <v>11614.779</v>
      </c>
      <c r="E287" s="516">
        <v>1045.3309999999999</v>
      </c>
      <c r="F287" s="516">
        <v>1045.3309999999999</v>
      </c>
      <c r="G287" s="516">
        <v>13705.441000000001</v>
      </c>
    </row>
    <row r="288" spans="1:7" x14ac:dyDescent="0.2">
      <c r="A288" s="513">
        <v>1882</v>
      </c>
      <c r="B288" s="514">
        <v>43208</v>
      </c>
      <c r="C288" s="515" t="s">
        <v>129</v>
      </c>
      <c r="D288" s="516">
        <v>11816.945</v>
      </c>
      <c r="E288" s="516">
        <v>1063.5260000000001</v>
      </c>
      <c r="F288" s="516">
        <v>1063.5260000000001</v>
      </c>
      <c r="G288" s="516">
        <v>13943.996999999999</v>
      </c>
    </row>
    <row r="289" spans="1:7" x14ac:dyDescent="0.2">
      <c r="A289" s="513">
        <v>1883</v>
      </c>
      <c r="B289" s="514">
        <v>43208</v>
      </c>
      <c r="C289" s="515" t="s">
        <v>129</v>
      </c>
      <c r="D289" s="516">
        <v>10604.517</v>
      </c>
      <c r="E289" s="516">
        <v>894.42</v>
      </c>
      <c r="F289" s="516">
        <v>894.42</v>
      </c>
      <c r="G289" s="516">
        <v>12393.357</v>
      </c>
    </row>
    <row r="290" spans="1:7" x14ac:dyDescent="0.2">
      <c r="A290" s="513">
        <v>1884</v>
      </c>
      <c r="B290" s="514">
        <v>43211</v>
      </c>
      <c r="C290" s="515" t="s">
        <v>124</v>
      </c>
      <c r="D290" s="516">
        <v>9795.2540000000008</v>
      </c>
      <c r="E290" s="516">
        <v>881.57299999999998</v>
      </c>
      <c r="F290" s="516">
        <v>881.57299999999998</v>
      </c>
      <c r="G290" s="516">
        <v>11558.4</v>
      </c>
    </row>
    <row r="291" spans="1:7" x14ac:dyDescent="0.2">
      <c r="A291" s="513">
        <v>1885</v>
      </c>
      <c r="B291" s="514">
        <v>43211</v>
      </c>
      <c r="C291" s="515" t="s">
        <v>124</v>
      </c>
      <c r="D291" s="516">
        <v>9080.7980000000007</v>
      </c>
      <c r="E291" s="516">
        <v>571.149</v>
      </c>
      <c r="F291" s="516">
        <v>571.149</v>
      </c>
      <c r="G291" s="516">
        <v>10223.096</v>
      </c>
    </row>
    <row r="292" spans="1:7" x14ac:dyDescent="0.2">
      <c r="A292" s="513">
        <v>1886</v>
      </c>
      <c r="B292" s="514">
        <v>43211</v>
      </c>
      <c r="C292" s="515" t="s">
        <v>125</v>
      </c>
      <c r="D292" s="516">
        <v>10934.316000000001</v>
      </c>
      <c r="E292" s="516">
        <v>875.76300000000003</v>
      </c>
      <c r="F292" s="516">
        <v>875.76300000000003</v>
      </c>
      <c r="G292" s="516">
        <v>12685.842000000001</v>
      </c>
    </row>
    <row r="293" spans="1:7" x14ac:dyDescent="0.2">
      <c r="A293" s="513">
        <v>1887</v>
      </c>
      <c r="B293" s="514">
        <v>43211</v>
      </c>
      <c r="C293" s="515" t="s">
        <v>126</v>
      </c>
      <c r="D293" s="516">
        <v>4301.085</v>
      </c>
      <c r="E293" s="516">
        <v>387.09800000000001</v>
      </c>
      <c r="F293" s="516">
        <v>387.09800000000001</v>
      </c>
      <c r="G293" s="516">
        <v>5075.2809999999999</v>
      </c>
    </row>
    <row r="294" spans="1:7" x14ac:dyDescent="0.2">
      <c r="A294" s="513">
        <v>1888</v>
      </c>
      <c r="B294" s="514">
        <v>43213</v>
      </c>
      <c r="C294" s="515" t="s">
        <v>128</v>
      </c>
      <c r="D294" s="516">
        <v>7708.0680000000002</v>
      </c>
      <c r="E294" s="516">
        <v>693.726</v>
      </c>
      <c r="F294" s="516">
        <v>693.726</v>
      </c>
      <c r="G294" s="516">
        <v>9095.52</v>
      </c>
    </row>
    <row r="295" spans="1:7" x14ac:dyDescent="0.2">
      <c r="A295" s="513">
        <v>1889</v>
      </c>
      <c r="B295" s="514">
        <v>43213</v>
      </c>
      <c r="C295" s="515" t="s">
        <v>130</v>
      </c>
      <c r="D295" s="516">
        <v>5544</v>
      </c>
      <c r="E295" s="516">
        <v>498.96</v>
      </c>
      <c r="F295" s="516">
        <v>498.96</v>
      </c>
      <c r="G295" s="516">
        <v>6541.92</v>
      </c>
    </row>
    <row r="296" spans="1:7" x14ac:dyDescent="0.2">
      <c r="A296" s="513">
        <v>1890</v>
      </c>
      <c r="B296" s="514">
        <v>43213</v>
      </c>
      <c r="C296" s="515" t="s">
        <v>130</v>
      </c>
      <c r="D296" s="516">
        <v>9127.0519999999997</v>
      </c>
      <c r="E296" s="516">
        <v>631.06600000000003</v>
      </c>
      <c r="F296" s="516">
        <v>631.06600000000003</v>
      </c>
      <c r="G296" s="516">
        <v>10389.183999999999</v>
      </c>
    </row>
    <row r="297" spans="1:7" x14ac:dyDescent="0.2">
      <c r="A297" s="513">
        <v>1891</v>
      </c>
      <c r="B297" s="514">
        <v>43214</v>
      </c>
      <c r="C297" s="515" t="s">
        <v>137</v>
      </c>
      <c r="D297" s="516">
        <v>1490.683</v>
      </c>
      <c r="E297" s="516">
        <v>89.441000000000003</v>
      </c>
      <c r="F297" s="516">
        <v>89.441000000000003</v>
      </c>
      <c r="G297" s="516">
        <v>1669.5650000000001</v>
      </c>
    </row>
    <row r="298" spans="1:7" x14ac:dyDescent="0.2">
      <c r="A298" s="513">
        <v>1892</v>
      </c>
      <c r="B298" s="514">
        <v>43214</v>
      </c>
      <c r="C298" s="515" t="s">
        <v>331</v>
      </c>
      <c r="D298" s="516">
        <v>1490.683</v>
      </c>
      <c r="E298" s="516">
        <v>89.441000000000003</v>
      </c>
      <c r="F298" s="516">
        <v>89.441000000000003</v>
      </c>
      <c r="G298" s="516">
        <v>1669.5650000000001</v>
      </c>
    </row>
    <row r="299" spans="1:7" x14ac:dyDescent="0.2">
      <c r="A299" s="513">
        <v>1893</v>
      </c>
      <c r="B299" s="514">
        <v>43216</v>
      </c>
      <c r="C299" s="515" t="s">
        <v>128</v>
      </c>
      <c r="D299" s="516">
        <v>3404.1350000000002</v>
      </c>
      <c r="E299" s="516">
        <v>306.37299999999999</v>
      </c>
      <c r="F299" s="516">
        <v>306.37299999999999</v>
      </c>
      <c r="G299" s="516">
        <v>4016.8809999999999</v>
      </c>
    </row>
    <row r="300" spans="1:7" x14ac:dyDescent="0.2">
      <c r="A300" s="513">
        <v>1894</v>
      </c>
      <c r="B300" s="514">
        <v>43216</v>
      </c>
      <c r="C300" s="515" t="s">
        <v>128</v>
      </c>
      <c r="D300" s="516">
        <v>17449.368999999999</v>
      </c>
      <c r="E300" s="516">
        <v>1510.4559999999999</v>
      </c>
      <c r="F300" s="516">
        <v>1510.4559999999999</v>
      </c>
      <c r="G300" s="516">
        <v>20470.280999999999</v>
      </c>
    </row>
    <row r="301" spans="1:7" x14ac:dyDescent="0.2">
      <c r="A301" s="513">
        <v>1895</v>
      </c>
      <c r="B301" s="514">
        <v>43217</v>
      </c>
      <c r="C301" s="515" t="s">
        <v>132</v>
      </c>
      <c r="D301" s="516">
        <v>8464.0679999999993</v>
      </c>
      <c r="E301" s="516">
        <v>761.76700000000005</v>
      </c>
      <c r="F301" s="516">
        <v>761.76700000000005</v>
      </c>
      <c r="G301" s="516">
        <v>9987.6020000000008</v>
      </c>
    </row>
    <row r="302" spans="1:7" x14ac:dyDescent="0.2">
      <c r="A302" s="513">
        <v>1896</v>
      </c>
      <c r="B302" s="514">
        <v>43217</v>
      </c>
      <c r="C302" s="515" t="s">
        <v>132</v>
      </c>
      <c r="D302" s="516">
        <v>6936.35</v>
      </c>
      <c r="E302" s="516">
        <v>607.83699999999999</v>
      </c>
      <c r="F302" s="516">
        <v>607.83699999999999</v>
      </c>
      <c r="G302" s="516">
        <v>8152.0240000000003</v>
      </c>
    </row>
    <row r="303" spans="1:7" x14ac:dyDescent="0.2">
      <c r="A303" s="513">
        <v>1897</v>
      </c>
      <c r="B303" s="514">
        <v>43218</v>
      </c>
      <c r="C303" s="515" t="s">
        <v>130</v>
      </c>
      <c r="D303" s="516">
        <v>10562.645</v>
      </c>
      <c r="E303" s="516">
        <v>950.63800000000003</v>
      </c>
      <c r="F303" s="516">
        <v>950.63800000000003</v>
      </c>
      <c r="G303" s="516">
        <v>12463.921</v>
      </c>
    </row>
    <row r="304" spans="1:7" x14ac:dyDescent="0.2">
      <c r="A304" s="513">
        <v>1898</v>
      </c>
      <c r="B304" s="514">
        <v>43218</v>
      </c>
      <c r="C304" s="515" t="s">
        <v>131</v>
      </c>
      <c r="D304" s="516">
        <v>8136.067</v>
      </c>
      <c r="E304" s="516">
        <v>699.37599999999998</v>
      </c>
      <c r="F304" s="516">
        <v>699.37599999999998</v>
      </c>
      <c r="G304" s="516">
        <v>9534.8189999999995</v>
      </c>
    </row>
    <row r="305" spans="1:7" x14ac:dyDescent="0.2">
      <c r="A305" s="513">
        <v>1899</v>
      </c>
      <c r="B305" s="514">
        <v>43218</v>
      </c>
      <c r="C305" s="515" t="s">
        <v>122</v>
      </c>
      <c r="D305" s="516">
        <v>8368.6779999999999</v>
      </c>
      <c r="E305" s="516">
        <v>753.18200000000002</v>
      </c>
      <c r="F305" s="516">
        <v>753.18200000000002</v>
      </c>
      <c r="G305" s="516">
        <v>9875.0419999999995</v>
      </c>
    </row>
    <row r="306" spans="1:7" x14ac:dyDescent="0.2">
      <c r="A306" s="513">
        <v>1900</v>
      </c>
      <c r="B306" s="514">
        <v>43218</v>
      </c>
      <c r="C306" s="515" t="s">
        <v>122</v>
      </c>
      <c r="D306" s="516">
        <v>6967.1750000000002</v>
      </c>
      <c r="E306" s="516">
        <v>511.90199999999999</v>
      </c>
      <c r="F306" s="516">
        <v>511.90199999999999</v>
      </c>
      <c r="G306" s="516">
        <v>7990.9790000000003</v>
      </c>
    </row>
    <row r="307" spans="1:7" x14ac:dyDescent="0.2">
      <c r="A307" s="513">
        <v>1901</v>
      </c>
      <c r="B307" s="514">
        <v>43218</v>
      </c>
      <c r="C307" s="515" t="s">
        <v>123</v>
      </c>
      <c r="D307" s="516">
        <v>6269.0119999999997</v>
      </c>
      <c r="E307" s="516">
        <v>564.21199999999999</v>
      </c>
      <c r="F307" s="516">
        <v>564.21199999999999</v>
      </c>
      <c r="G307" s="516">
        <v>7397.4359999999997</v>
      </c>
    </row>
    <row r="308" spans="1:7" x14ac:dyDescent="0.2">
      <c r="A308" s="513">
        <v>1902</v>
      </c>
      <c r="B308" s="514">
        <v>43218</v>
      </c>
      <c r="C308" s="515" t="s">
        <v>125</v>
      </c>
      <c r="D308" s="516">
        <v>5736.6279999999997</v>
      </c>
      <c r="E308" s="516">
        <v>516.29700000000003</v>
      </c>
      <c r="F308" s="516">
        <v>516.29700000000003</v>
      </c>
      <c r="G308" s="516">
        <v>6769.2219999999998</v>
      </c>
    </row>
    <row r="309" spans="1:7" x14ac:dyDescent="0.2">
      <c r="A309" s="513">
        <v>1903</v>
      </c>
      <c r="B309" s="514">
        <v>43218</v>
      </c>
      <c r="C309" s="515" t="s">
        <v>138</v>
      </c>
      <c r="D309" s="516">
        <v>4244.6589999999997</v>
      </c>
      <c r="E309" s="516">
        <v>382.02</v>
      </c>
      <c r="F309" s="516">
        <v>382.02</v>
      </c>
      <c r="G309" s="516">
        <v>5008.6989999999996</v>
      </c>
    </row>
    <row r="310" spans="1:7" x14ac:dyDescent="0.2">
      <c r="A310" s="513">
        <v>1904</v>
      </c>
      <c r="B310" s="514">
        <v>43218</v>
      </c>
      <c r="C310" s="515" t="s">
        <v>123</v>
      </c>
      <c r="D310" s="516">
        <v>1095.6559999999999</v>
      </c>
      <c r="E310" s="516">
        <v>65.739999999999995</v>
      </c>
      <c r="F310" s="516">
        <v>65.739999999999995</v>
      </c>
      <c r="G310" s="516">
        <v>1227.136</v>
      </c>
    </row>
    <row r="311" spans="1:7" x14ac:dyDescent="0.2">
      <c r="A311" s="513">
        <v>1905</v>
      </c>
      <c r="B311" s="514">
        <v>43220</v>
      </c>
      <c r="C311" s="515" t="s">
        <v>133</v>
      </c>
      <c r="D311" s="516">
        <v>4404.4440000000004</v>
      </c>
      <c r="E311" s="516">
        <v>396.4</v>
      </c>
      <c r="F311" s="516">
        <v>396.4</v>
      </c>
      <c r="G311" s="516">
        <v>5197.2439999999997</v>
      </c>
    </row>
    <row r="312" spans="1:7" x14ac:dyDescent="0.2">
      <c r="A312" s="513">
        <v>1906</v>
      </c>
      <c r="B312" s="514">
        <v>43223</v>
      </c>
      <c r="C312" s="515" t="s">
        <v>123</v>
      </c>
      <c r="D312" s="516">
        <v>12309.56</v>
      </c>
      <c r="E312" s="516">
        <v>1107.8599999999999</v>
      </c>
      <c r="F312" s="516">
        <v>1107.8599999999999</v>
      </c>
      <c r="G312" s="516">
        <v>14525.28</v>
      </c>
    </row>
    <row r="313" spans="1:7" x14ac:dyDescent="0.2">
      <c r="A313" s="513">
        <v>1907</v>
      </c>
      <c r="B313" s="514">
        <v>43223</v>
      </c>
      <c r="C313" s="515" t="s">
        <v>123</v>
      </c>
      <c r="D313" s="516">
        <v>4513.5309999999999</v>
      </c>
      <c r="E313" s="516">
        <v>291.673</v>
      </c>
      <c r="F313" s="516">
        <v>291.673</v>
      </c>
      <c r="G313" s="516">
        <v>5096.8770000000004</v>
      </c>
    </row>
    <row r="314" spans="1:7" x14ac:dyDescent="0.2">
      <c r="A314" s="513">
        <v>1908</v>
      </c>
      <c r="B314" s="514">
        <v>43223</v>
      </c>
      <c r="C314" s="515" t="s">
        <v>125</v>
      </c>
      <c r="D314" s="516">
        <v>8106.9709999999995</v>
      </c>
      <c r="E314" s="516">
        <v>539.02</v>
      </c>
      <c r="F314" s="516">
        <v>539.02</v>
      </c>
      <c r="G314" s="516">
        <v>9185.0110000000004</v>
      </c>
    </row>
    <row r="315" spans="1:7" x14ac:dyDescent="0.2">
      <c r="A315" s="513">
        <v>1909</v>
      </c>
      <c r="B315" s="514">
        <v>43223</v>
      </c>
      <c r="C315" s="515" t="s">
        <v>128</v>
      </c>
      <c r="D315" s="516">
        <v>19090.78</v>
      </c>
      <c r="E315" s="516">
        <v>1718.17</v>
      </c>
      <c r="F315" s="516">
        <v>1718.17</v>
      </c>
      <c r="G315" s="516">
        <v>22527.119999999999</v>
      </c>
    </row>
    <row r="316" spans="1:7" x14ac:dyDescent="0.2">
      <c r="A316" s="513">
        <v>1910</v>
      </c>
      <c r="B316" s="514">
        <v>43223</v>
      </c>
      <c r="C316" s="515" t="s">
        <v>130</v>
      </c>
      <c r="D316" s="516">
        <v>2690.848</v>
      </c>
      <c r="E316" s="516">
        <v>242.17599999999999</v>
      </c>
      <c r="F316" s="516">
        <v>242.17599999999999</v>
      </c>
      <c r="G316" s="516">
        <v>3175.2</v>
      </c>
    </row>
    <row r="317" spans="1:7" x14ac:dyDescent="0.2">
      <c r="A317" s="513">
        <v>1911</v>
      </c>
      <c r="B317" s="514">
        <v>43224</v>
      </c>
      <c r="C317" s="515" t="s">
        <v>129</v>
      </c>
      <c r="D317" s="516">
        <v>16089.249</v>
      </c>
      <c r="E317" s="516">
        <v>1393.798</v>
      </c>
      <c r="F317" s="516">
        <v>1393.798</v>
      </c>
      <c r="G317" s="516">
        <v>18876.845000000001</v>
      </c>
    </row>
    <row r="318" spans="1:7" x14ac:dyDescent="0.2">
      <c r="A318" s="513">
        <v>1912</v>
      </c>
      <c r="B318" s="514">
        <v>43224</v>
      </c>
      <c r="C318" s="515" t="s">
        <v>128</v>
      </c>
      <c r="D318" s="516">
        <v>7108.4610000000002</v>
      </c>
      <c r="E318" s="516">
        <v>426.50799999999998</v>
      </c>
      <c r="F318" s="516">
        <v>426.50799999999998</v>
      </c>
      <c r="G318" s="516">
        <v>7961.4769999999999</v>
      </c>
    </row>
    <row r="319" spans="1:7" x14ac:dyDescent="0.2">
      <c r="A319" s="513">
        <v>1913</v>
      </c>
      <c r="B319" s="514">
        <v>43224</v>
      </c>
      <c r="C319" s="515" t="s">
        <v>134</v>
      </c>
      <c r="D319" s="516">
        <v>3818.1840000000002</v>
      </c>
      <c r="E319" s="516">
        <v>229.09100000000001</v>
      </c>
      <c r="F319" s="516">
        <v>229.09100000000001</v>
      </c>
      <c r="G319" s="516">
        <v>4276.366</v>
      </c>
    </row>
    <row r="320" spans="1:7" x14ac:dyDescent="0.2">
      <c r="A320" s="513">
        <v>1914</v>
      </c>
      <c r="B320" s="514">
        <v>43225</v>
      </c>
      <c r="C320" s="515" t="s">
        <v>129</v>
      </c>
      <c r="D320" s="516">
        <v>2135.5940000000001</v>
      </c>
      <c r="E320" s="516">
        <v>192.20400000000001</v>
      </c>
      <c r="F320" s="516">
        <v>192.20400000000001</v>
      </c>
      <c r="G320" s="516">
        <v>2520.002</v>
      </c>
    </row>
    <row r="321" spans="1:7" x14ac:dyDescent="0.2">
      <c r="A321" s="513">
        <v>1915</v>
      </c>
      <c r="B321" s="514">
        <v>43225</v>
      </c>
      <c r="C321" s="515" t="s">
        <v>147</v>
      </c>
      <c r="D321" s="516">
        <v>6897.57</v>
      </c>
      <c r="E321" s="516">
        <v>620.78099999999995</v>
      </c>
      <c r="F321" s="516">
        <v>620.78099999999995</v>
      </c>
      <c r="G321" s="516">
        <v>8139.1319999999996</v>
      </c>
    </row>
    <row r="322" spans="1:7" x14ac:dyDescent="0.2">
      <c r="A322" s="513">
        <v>1916</v>
      </c>
      <c r="B322" s="514">
        <v>43225</v>
      </c>
      <c r="C322" s="515" t="s">
        <v>127</v>
      </c>
      <c r="D322" s="516">
        <v>3150.8020000000001</v>
      </c>
      <c r="E322" s="516">
        <v>283.572</v>
      </c>
      <c r="F322" s="516">
        <v>283.572</v>
      </c>
      <c r="G322" s="516">
        <v>3717.9459999999999</v>
      </c>
    </row>
    <row r="323" spans="1:7" x14ac:dyDescent="0.2">
      <c r="A323" s="513">
        <v>1917</v>
      </c>
      <c r="B323" s="514">
        <v>43225</v>
      </c>
      <c r="C323" s="515" t="s">
        <v>130</v>
      </c>
      <c r="D323" s="516">
        <v>4946.0360000000001</v>
      </c>
      <c r="E323" s="516">
        <v>445.14400000000001</v>
      </c>
      <c r="F323" s="516">
        <v>445.14400000000001</v>
      </c>
      <c r="G323" s="516">
        <v>5836.3239999999996</v>
      </c>
    </row>
    <row r="324" spans="1:7" x14ac:dyDescent="0.2">
      <c r="A324" s="513">
        <v>1918</v>
      </c>
      <c r="B324" s="514">
        <v>43225</v>
      </c>
      <c r="C324" s="515" t="s">
        <v>124</v>
      </c>
      <c r="D324" s="516">
        <v>8831.39</v>
      </c>
      <c r="E324" s="516">
        <v>794.82500000000005</v>
      </c>
      <c r="F324" s="516">
        <v>794.82500000000005</v>
      </c>
      <c r="G324" s="516">
        <v>10421.040000000001</v>
      </c>
    </row>
    <row r="325" spans="1:7" x14ac:dyDescent="0.2">
      <c r="A325" s="513">
        <v>1919</v>
      </c>
      <c r="B325" s="514">
        <v>43225</v>
      </c>
      <c r="C325" s="515" t="s">
        <v>124</v>
      </c>
      <c r="D325" s="516">
        <v>22843.691999999999</v>
      </c>
      <c r="E325" s="516">
        <v>1768.086</v>
      </c>
      <c r="F325" s="516">
        <v>1768.086</v>
      </c>
      <c r="G325" s="516">
        <v>26379.864000000001</v>
      </c>
    </row>
    <row r="326" spans="1:7" x14ac:dyDescent="0.2">
      <c r="A326" s="513">
        <v>1920</v>
      </c>
      <c r="B326" s="514">
        <v>43228</v>
      </c>
      <c r="C326" s="515" t="s">
        <v>130</v>
      </c>
      <c r="D326" s="516">
        <v>8525.2900000000009</v>
      </c>
      <c r="E326" s="516">
        <v>767.28</v>
      </c>
      <c r="F326" s="516">
        <v>767.28</v>
      </c>
      <c r="G326" s="516">
        <v>10059.84</v>
      </c>
    </row>
    <row r="327" spans="1:7" x14ac:dyDescent="0.2">
      <c r="A327" s="513">
        <v>1921</v>
      </c>
      <c r="B327" s="514">
        <v>43232</v>
      </c>
      <c r="C327" s="515" t="s">
        <v>128</v>
      </c>
      <c r="D327" s="516">
        <v>14016.611000000001</v>
      </c>
      <c r="E327" s="516">
        <v>1261.4949999999999</v>
      </c>
      <c r="F327" s="516">
        <v>1261.4949999999999</v>
      </c>
      <c r="G327" s="516">
        <v>16539.600999999999</v>
      </c>
    </row>
    <row r="328" spans="1:7" x14ac:dyDescent="0.2">
      <c r="A328" s="513">
        <v>1922</v>
      </c>
      <c r="B328" s="514">
        <v>43232</v>
      </c>
      <c r="C328" s="515" t="s">
        <v>125</v>
      </c>
      <c r="D328" s="516">
        <v>19429.629000000001</v>
      </c>
      <c r="E328" s="516">
        <v>1748.6669999999999</v>
      </c>
      <c r="F328" s="516">
        <v>1748.6669999999999</v>
      </c>
      <c r="G328" s="516">
        <v>22926.963</v>
      </c>
    </row>
    <row r="329" spans="1:7" x14ac:dyDescent="0.2">
      <c r="A329" s="513">
        <v>1923</v>
      </c>
      <c r="B329" s="514">
        <v>43232</v>
      </c>
      <c r="C329" s="515" t="s">
        <v>129</v>
      </c>
      <c r="D329" s="516">
        <v>10082.572</v>
      </c>
      <c r="E329" s="516">
        <v>907.43200000000002</v>
      </c>
      <c r="F329" s="516">
        <v>907.43200000000002</v>
      </c>
      <c r="G329" s="516">
        <v>11897.436</v>
      </c>
    </row>
    <row r="330" spans="1:7" x14ac:dyDescent="0.2">
      <c r="A330" s="513">
        <v>1924</v>
      </c>
      <c r="B330" s="514">
        <v>43232</v>
      </c>
      <c r="C330" s="515" t="s">
        <v>125</v>
      </c>
      <c r="D330" s="516">
        <v>1623.0509999999999</v>
      </c>
      <c r="E330" s="516">
        <v>146.07499999999999</v>
      </c>
      <c r="F330" s="516">
        <v>146.07499999999999</v>
      </c>
      <c r="G330" s="516">
        <v>1915.201</v>
      </c>
    </row>
    <row r="331" spans="1:7" x14ac:dyDescent="0.2">
      <c r="A331" s="513">
        <v>1925</v>
      </c>
      <c r="B331" s="514">
        <v>43232</v>
      </c>
      <c r="C331" s="515" t="s">
        <v>129</v>
      </c>
      <c r="D331" s="516">
        <v>3921.7570000000001</v>
      </c>
      <c r="E331" s="516">
        <v>282.28800000000001</v>
      </c>
      <c r="F331" s="516">
        <v>282.28800000000001</v>
      </c>
      <c r="G331" s="516">
        <v>4486.3329999999996</v>
      </c>
    </row>
    <row r="332" spans="1:7" x14ac:dyDescent="0.2">
      <c r="A332" s="513">
        <v>1926</v>
      </c>
      <c r="B332" s="514">
        <v>43232</v>
      </c>
      <c r="C332" s="515" t="s">
        <v>104</v>
      </c>
      <c r="D332" s="516">
        <v>2171.8200000000002</v>
      </c>
      <c r="E332" s="516">
        <v>195.465</v>
      </c>
      <c r="F332" s="516">
        <v>195.465</v>
      </c>
      <c r="G332" s="516">
        <v>2562.75</v>
      </c>
    </row>
    <row r="333" spans="1:7" x14ac:dyDescent="0.2">
      <c r="A333" s="513">
        <v>1927</v>
      </c>
      <c r="B333" s="514">
        <v>43232</v>
      </c>
      <c r="C333" s="515" t="s">
        <v>132</v>
      </c>
      <c r="D333" s="516">
        <v>2682.3049999999998</v>
      </c>
      <c r="E333" s="516">
        <v>241.40799999999999</v>
      </c>
      <c r="F333" s="516">
        <v>241.40799999999999</v>
      </c>
      <c r="G333" s="516">
        <v>3165.1210000000001</v>
      </c>
    </row>
    <row r="334" spans="1:7" x14ac:dyDescent="0.2">
      <c r="A334" s="513">
        <v>1928</v>
      </c>
      <c r="B334" s="514">
        <v>43235</v>
      </c>
      <c r="C334" s="515" t="s">
        <v>128</v>
      </c>
      <c r="D334" s="516">
        <v>10128.406999999999</v>
      </c>
      <c r="E334" s="516">
        <v>911.55700000000002</v>
      </c>
      <c r="F334" s="516">
        <v>911.55700000000002</v>
      </c>
      <c r="G334" s="516">
        <v>11951.521000000001</v>
      </c>
    </row>
    <row r="335" spans="1:7" x14ac:dyDescent="0.2">
      <c r="A335" s="513">
        <v>1929</v>
      </c>
      <c r="B335" s="514">
        <v>43235</v>
      </c>
      <c r="C335" s="515" t="s">
        <v>130</v>
      </c>
      <c r="D335" s="516">
        <v>8446.1659999999993</v>
      </c>
      <c r="E335" s="516">
        <v>760.15499999999997</v>
      </c>
      <c r="F335" s="516">
        <v>760.15499999999997</v>
      </c>
      <c r="G335" s="516">
        <v>9966.4760000000006</v>
      </c>
    </row>
    <row r="336" spans="1:7" x14ac:dyDescent="0.2">
      <c r="A336" s="513">
        <v>1930</v>
      </c>
      <c r="B336" s="514">
        <v>43235</v>
      </c>
      <c r="C336" s="515" t="s">
        <v>128</v>
      </c>
      <c r="D336" s="516">
        <v>9686.5640000000003</v>
      </c>
      <c r="E336" s="516">
        <v>581.19399999999996</v>
      </c>
      <c r="F336" s="516">
        <v>581.19399999999996</v>
      </c>
      <c r="G336" s="516">
        <v>10848.951999999999</v>
      </c>
    </row>
    <row r="337" spans="1:7" x14ac:dyDescent="0.2">
      <c r="A337" s="513">
        <v>1931</v>
      </c>
      <c r="B337" s="514">
        <v>43235</v>
      </c>
      <c r="C337" s="515" t="s">
        <v>132</v>
      </c>
      <c r="D337" s="516">
        <v>11212.509</v>
      </c>
      <c r="E337" s="516">
        <v>1009.126</v>
      </c>
      <c r="F337" s="516">
        <v>1009.126</v>
      </c>
      <c r="G337" s="516">
        <v>13230.761</v>
      </c>
    </row>
    <row r="338" spans="1:7" x14ac:dyDescent="0.2">
      <c r="A338" s="513">
        <v>1932</v>
      </c>
      <c r="B338" s="514">
        <v>43235</v>
      </c>
      <c r="C338" s="515" t="s">
        <v>133</v>
      </c>
      <c r="D338" s="516">
        <v>5910.46</v>
      </c>
      <c r="E338" s="516">
        <v>531.94200000000001</v>
      </c>
      <c r="F338" s="516">
        <v>531.94200000000001</v>
      </c>
      <c r="G338" s="516">
        <v>6974.3440000000001</v>
      </c>
    </row>
    <row r="339" spans="1:7" x14ac:dyDescent="0.2">
      <c r="A339" s="513">
        <v>1933</v>
      </c>
      <c r="B339" s="514">
        <v>43236</v>
      </c>
      <c r="C339" s="515" t="s">
        <v>123</v>
      </c>
      <c r="D339" s="516">
        <v>12690.105</v>
      </c>
      <c r="E339" s="516">
        <v>1142.1099999999999</v>
      </c>
      <c r="F339" s="516">
        <v>1142.1099999999999</v>
      </c>
      <c r="G339" s="516">
        <v>14974.325000000001</v>
      </c>
    </row>
  </sheetData>
  <mergeCells count="4">
    <mergeCell ref="A1:G2"/>
    <mergeCell ref="A3:G3"/>
    <mergeCell ref="A4:G4"/>
    <mergeCell ref="A5:G5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>
    <tabColor rgb="FFFF0000"/>
  </sheetPr>
  <dimension ref="A1:Q41"/>
  <sheetViews>
    <sheetView zoomScale="85" zoomScaleNormal="85" workbookViewId="0">
      <selection activeCell="E19" sqref="E19"/>
    </sheetView>
  </sheetViews>
  <sheetFormatPr defaultRowHeight="12.75" x14ac:dyDescent="0.2"/>
  <cols>
    <col min="1" max="1" width="7.7109375" style="496" customWidth="1"/>
    <col min="2" max="2" width="9" style="497" customWidth="1"/>
    <col min="3" max="3" width="28" style="498" customWidth="1"/>
    <col min="4" max="4" width="9.42578125" style="499" customWidth="1"/>
    <col min="5" max="5" width="8.7109375" style="499" customWidth="1"/>
    <col min="6" max="7" width="8.5703125" style="499" customWidth="1"/>
    <col min="8" max="8" width="10.28515625" style="499" customWidth="1"/>
    <col min="9" max="9" width="9.140625" style="500"/>
    <col min="10" max="16384" width="9.140625" style="493"/>
  </cols>
  <sheetData>
    <row r="1" spans="1:17" ht="15" customHeight="1" x14ac:dyDescent="0.3">
      <c r="A1" s="646" t="s">
        <v>335</v>
      </c>
      <c r="B1" s="646"/>
      <c r="C1" s="646"/>
      <c r="D1" s="646"/>
      <c r="E1" s="646"/>
      <c r="F1" s="646"/>
      <c r="G1" s="646"/>
      <c r="H1" s="646"/>
      <c r="I1" s="51"/>
      <c r="J1" s="51"/>
      <c r="K1" s="51"/>
      <c r="L1" s="51"/>
      <c r="M1" s="51"/>
      <c r="N1" s="51"/>
      <c r="O1" s="51"/>
      <c r="P1" s="51"/>
      <c r="Q1" s="51"/>
    </row>
    <row r="2" spans="1:17" ht="15" customHeight="1" x14ac:dyDescent="0.3">
      <c r="A2" s="646"/>
      <c r="B2" s="646"/>
      <c r="C2" s="646"/>
      <c r="D2" s="646"/>
      <c r="E2" s="646"/>
      <c r="F2" s="646"/>
      <c r="G2" s="646"/>
      <c r="H2" s="646"/>
      <c r="I2" s="51"/>
      <c r="J2" s="51"/>
      <c r="K2" s="51"/>
      <c r="L2" s="51"/>
      <c r="M2" s="51"/>
      <c r="N2" s="51"/>
      <c r="O2" s="51"/>
      <c r="P2" s="51"/>
      <c r="Q2" s="51"/>
    </row>
    <row r="3" spans="1:17" ht="10.5" customHeight="1" x14ac:dyDescent="0.2">
      <c r="A3" s="647" t="s">
        <v>20</v>
      </c>
      <c r="B3" s="647"/>
      <c r="C3" s="647"/>
      <c r="D3" s="647"/>
      <c r="E3" s="647"/>
      <c r="F3" s="647"/>
      <c r="G3" s="647"/>
      <c r="H3" s="647"/>
      <c r="I3" s="494"/>
      <c r="J3" s="494"/>
      <c r="K3" s="494"/>
      <c r="L3" s="494"/>
      <c r="M3" s="494"/>
      <c r="N3" s="494"/>
      <c r="O3" s="494"/>
      <c r="P3" s="494"/>
      <c r="Q3" s="494"/>
    </row>
    <row r="4" spans="1:17" ht="11.25" customHeight="1" x14ac:dyDescent="0.2">
      <c r="A4" s="647" t="s">
        <v>333</v>
      </c>
      <c r="B4" s="647"/>
      <c r="C4" s="647"/>
      <c r="D4" s="647"/>
      <c r="E4" s="647"/>
      <c r="F4" s="647"/>
      <c r="G4" s="647"/>
      <c r="H4" s="647"/>
      <c r="I4" s="494"/>
      <c r="J4" s="494"/>
      <c r="K4" s="494"/>
      <c r="L4" s="494"/>
      <c r="M4" s="494"/>
      <c r="N4" s="494"/>
      <c r="O4" s="494"/>
      <c r="P4" s="494"/>
      <c r="Q4" s="494"/>
    </row>
    <row r="5" spans="1:17" ht="12" customHeight="1" thickBot="1" x14ac:dyDescent="0.25">
      <c r="A5" s="648" t="s">
        <v>334</v>
      </c>
      <c r="B5" s="648"/>
      <c r="C5" s="648"/>
      <c r="D5" s="648"/>
      <c r="E5" s="648"/>
      <c r="F5" s="648"/>
      <c r="G5" s="648"/>
      <c r="H5" s="648"/>
      <c r="I5" s="495"/>
      <c r="J5" s="495"/>
      <c r="K5" s="495"/>
      <c r="L5" s="495"/>
      <c r="M5" s="495"/>
      <c r="N5" s="495"/>
      <c r="O5" s="495"/>
      <c r="P5" s="495"/>
      <c r="Q5" s="495"/>
    </row>
    <row r="6" spans="1:17" s="53" customFormat="1" ht="26.25" thickBot="1" x14ac:dyDescent="0.25">
      <c r="A6" s="62" t="s">
        <v>64</v>
      </c>
      <c r="B6" s="178" t="s">
        <v>57</v>
      </c>
      <c r="C6" s="63" t="s">
        <v>65</v>
      </c>
      <c r="D6" s="259" t="s">
        <v>66</v>
      </c>
      <c r="E6" s="259" t="s">
        <v>5</v>
      </c>
      <c r="F6" s="259" t="s">
        <v>6</v>
      </c>
      <c r="G6" s="259" t="s">
        <v>72</v>
      </c>
      <c r="H6" s="259" t="s">
        <v>19</v>
      </c>
      <c r="I6" s="55"/>
    </row>
    <row r="7" spans="1:17" x14ac:dyDescent="0.2">
      <c r="A7" s="496" t="s">
        <v>116</v>
      </c>
      <c r="B7" s="497">
        <v>43043</v>
      </c>
      <c r="C7" s="498" t="s">
        <v>114</v>
      </c>
      <c r="D7" s="499">
        <v>35894.58</v>
      </c>
      <c r="E7" s="499">
        <v>5025.24</v>
      </c>
      <c r="F7" s="499">
        <v>5025.24</v>
      </c>
      <c r="H7" s="499">
        <v>45945.06</v>
      </c>
    </row>
    <row r="8" spans="1:17" x14ac:dyDescent="0.2">
      <c r="A8" s="496" t="s">
        <v>117</v>
      </c>
      <c r="B8" s="497">
        <v>43045</v>
      </c>
      <c r="C8" s="498" t="s">
        <v>114</v>
      </c>
      <c r="D8" s="499">
        <v>33321.18</v>
      </c>
      <c r="E8" s="499">
        <v>3662.59</v>
      </c>
      <c r="F8" s="499">
        <v>3662.59</v>
      </c>
      <c r="H8" s="499">
        <v>40646.36</v>
      </c>
    </row>
    <row r="9" spans="1:17" x14ac:dyDescent="0.2">
      <c r="A9" s="496">
        <v>7984</v>
      </c>
      <c r="B9" s="497">
        <v>43063</v>
      </c>
      <c r="C9" s="498" t="s">
        <v>115</v>
      </c>
      <c r="D9" s="499">
        <v>92945.54</v>
      </c>
      <c r="G9" s="499">
        <v>16730.189999999999</v>
      </c>
      <c r="H9" s="499">
        <v>109675.73</v>
      </c>
    </row>
    <row r="10" spans="1:17" x14ac:dyDescent="0.2">
      <c r="A10" s="496" t="s">
        <v>118</v>
      </c>
      <c r="B10" s="497">
        <v>43067</v>
      </c>
      <c r="C10" s="498" t="s">
        <v>114</v>
      </c>
      <c r="D10" s="499">
        <v>34445.339999999997</v>
      </c>
      <c r="E10" s="499">
        <v>3100.08</v>
      </c>
      <c r="F10" s="499">
        <v>3100.08</v>
      </c>
      <c r="H10" s="499">
        <v>40645.5</v>
      </c>
    </row>
    <row r="11" spans="1:17" x14ac:dyDescent="0.2">
      <c r="A11" s="496">
        <v>1001</v>
      </c>
      <c r="B11" s="497">
        <v>43068</v>
      </c>
      <c r="C11" s="498" t="s">
        <v>73</v>
      </c>
      <c r="D11" s="499">
        <v>53772.959999999999</v>
      </c>
      <c r="E11" s="499">
        <v>3226.38</v>
      </c>
      <c r="F11" s="499">
        <v>3226.38</v>
      </c>
      <c r="H11" s="499">
        <v>60225.72</v>
      </c>
    </row>
    <row r="12" spans="1:17" x14ac:dyDescent="0.2">
      <c r="A12" s="496">
        <v>1017</v>
      </c>
      <c r="B12" s="497">
        <v>43069</v>
      </c>
      <c r="C12" s="498" t="s">
        <v>73</v>
      </c>
      <c r="D12" s="499">
        <v>5693.02</v>
      </c>
      <c r="E12" s="499">
        <v>341.58</v>
      </c>
      <c r="F12" s="499">
        <v>341.58</v>
      </c>
      <c r="H12" s="499">
        <v>6376.18</v>
      </c>
    </row>
    <row r="13" spans="1:17" x14ac:dyDescent="0.2">
      <c r="A13" s="496" t="s">
        <v>119</v>
      </c>
      <c r="B13" s="497">
        <v>43069</v>
      </c>
      <c r="C13" s="498" t="s">
        <v>114</v>
      </c>
      <c r="D13" s="499">
        <v>13604.56</v>
      </c>
      <c r="E13" s="499">
        <v>1224.4100000000001</v>
      </c>
      <c r="F13" s="499">
        <v>1224.4100000000001</v>
      </c>
      <c r="H13" s="499">
        <v>16053.38</v>
      </c>
    </row>
    <row r="14" spans="1:17" x14ac:dyDescent="0.2">
      <c r="A14" s="496" t="s">
        <v>148</v>
      </c>
      <c r="B14" s="497">
        <v>43071</v>
      </c>
      <c r="C14" s="498" t="s">
        <v>114</v>
      </c>
      <c r="D14" s="499">
        <v>29902.2</v>
      </c>
      <c r="E14" s="499">
        <v>2691.2</v>
      </c>
      <c r="F14" s="499">
        <v>2691.2</v>
      </c>
      <c r="H14" s="499">
        <v>35285</v>
      </c>
    </row>
    <row r="15" spans="1:17" x14ac:dyDescent="0.2">
      <c r="A15" s="496" t="s">
        <v>149</v>
      </c>
      <c r="B15" s="497">
        <v>43078</v>
      </c>
      <c r="C15" s="498" t="s">
        <v>114</v>
      </c>
      <c r="D15" s="499">
        <v>39196.800000000003</v>
      </c>
      <c r="E15" s="499">
        <v>3527.71</v>
      </c>
      <c r="F15" s="499">
        <v>3527.71</v>
      </c>
      <c r="H15" s="499">
        <v>46252</v>
      </c>
    </row>
    <row r="16" spans="1:17" x14ac:dyDescent="0.2">
      <c r="A16" s="496">
        <v>1073</v>
      </c>
      <c r="B16" s="497">
        <v>43083</v>
      </c>
      <c r="C16" s="498" t="s">
        <v>73</v>
      </c>
      <c r="D16" s="499">
        <v>41491.19</v>
      </c>
      <c r="E16" s="499">
        <v>2489.4699999999998</v>
      </c>
      <c r="F16" s="499">
        <v>2489.4699999999998</v>
      </c>
      <c r="H16" s="499">
        <v>46470</v>
      </c>
    </row>
    <row r="17" spans="1:10" x14ac:dyDescent="0.2">
      <c r="A17" s="496">
        <v>1074</v>
      </c>
      <c r="B17" s="497">
        <v>43083</v>
      </c>
      <c r="C17" s="498" t="s">
        <v>73</v>
      </c>
      <c r="D17" s="499">
        <v>19613</v>
      </c>
      <c r="E17" s="499">
        <v>1490.03</v>
      </c>
      <c r="F17" s="499">
        <v>1490.03</v>
      </c>
      <c r="H17" s="499">
        <v>22593</v>
      </c>
      <c r="J17" s="501"/>
    </row>
    <row r="18" spans="1:10" x14ac:dyDescent="0.2">
      <c r="A18" s="496" t="s">
        <v>150</v>
      </c>
      <c r="B18" s="497">
        <v>43084</v>
      </c>
      <c r="C18" s="498" t="s">
        <v>114</v>
      </c>
      <c r="D18" s="499">
        <v>42143.7</v>
      </c>
      <c r="E18" s="499">
        <v>3792.93</v>
      </c>
      <c r="F18" s="499">
        <v>3792.93</v>
      </c>
      <c r="H18" s="499">
        <v>49730</v>
      </c>
    </row>
    <row r="19" spans="1:10" s="507" customFormat="1" x14ac:dyDescent="0.2">
      <c r="A19" s="502" t="s">
        <v>151</v>
      </c>
      <c r="B19" s="503">
        <v>43085</v>
      </c>
      <c r="C19" s="504" t="s">
        <v>114</v>
      </c>
      <c r="D19" s="505">
        <v>36317.160000000003</v>
      </c>
      <c r="E19" s="505">
        <v>3268.54</v>
      </c>
      <c r="F19" s="505">
        <v>3268.54</v>
      </c>
      <c r="G19" s="505"/>
      <c r="H19" s="505">
        <v>42854</v>
      </c>
      <c r="I19" s="506"/>
    </row>
    <row r="20" spans="1:10" x14ac:dyDescent="0.2">
      <c r="A20" s="496" t="s">
        <v>152</v>
      </c>
      <c r="B20" s="497">
        <v>43087</v>
      </c>
      <c r="C20" s="498" t="s">
        <v>114</v>
      </c>
      <c r="D20" s="499">
        <v>35106.36</v>
      </c>
      <c r="E20" s="499">
        <v>3159.57</v>
      </c>
      <c r="F20" s="499">
        <v>3159.57</v>
      </c>
      <c r="H20" s="499">
        <v>41426</v>
      </c>
    </row>
    <row r="21" spans="1:10" x14ac:dyDescent="0.2">
      <c r="A21" s="496" t="s">
        <v>153</v>
      </c>
      <c r="B21" s="497">
        <v>43088</v>
      </c>
      <c r="C21" s="498" t="s">
        <v>114</v>
      </c>
      <c r="D21" s="499">
        <v>9569.94</v>
      </c>
      <c r="E21" s="499">
        <v>861.29</v>
      </c>
      <c r="F21" s="499">
        <v>861.29</v>
      </c>
      <c r="H21" s="499">
        <v>11293</v>
      </c>
    </row>
    <row r="22" spans="1:10" x14ac:dyDescent="0.2">
      <c r="A22" s="496">
        <v>1015</v>
      </c>
      <c r="B22" s="497">
        <v>43091</v>
      </c>
      <c r="C22" s="498" t="s">
        <v>160</v>
      </c>
      <c r="D22" s="499">
        <v>26772.13</v>
      </c>
      <c r="E22" s="499">
        <v>2409.4899999999998</v>
      </c>
      <c r="F22" s="499">
        <v>2409.4899999999998</v>
      </c>
      <c r="H22" s="499">
        <v>31590</v>
      </c>
    </row>
    <row r="23" spans="1:10" x14ac:dyDescent="0.2">
      <c r="A23" s="496">
        <v>635</v>
      </c>
      <c r="B23" s="497">
        <v>43090</v>
      </c>
      <c r="C23" s="498" t="s">
        <v>115</v>
      </c>
      <c r="D23" s="499">
        <v>60262.41</v>
      </c>
      <c r="G23" s="499">
        <v>10847.23</v>
      </c>
      <c r="H23" s="499">
        <v>71110</v>
      </c>
    </row>
    <row r="24" spans="1:10" x14ac:dyDescent="0.2">
      <c r="A24" s="496">
        <v>843</v>
      </c>
      <c r="B24" s="497">
        <v>43091</v>
      </c>
      <c r="C24" s="498" t="s">
        <v>115</v>
      </c>
      <c r="D24" s="499">
        <v>191073.82</v>
      </c>
      <c r="G24" s="499">
        <v>34393.26</v>
      </c>
      <c r="H24" s="499">
        <v>225467</v>
      </c>
    </row>
    <row r="25" spans="1:10" x14ac:dyDescent="0.2">
      <c r="A25" s="496" t="s">
        <v>161</v>
      </c>
      <c r="B25" s="497">
        <v>43097</v>
      </c>
      <c r="C25" s="498" t="s">
        <v>114</v>
      </c>
      <c r="D25" s="499">
        <v>69250.2</v>
      </c>
      <c r="E25" s="499">
        <v>6232.52</v>
      </c>
      <c r="F25" s="499">
        <v>6232.52</v>
      </c>
      <c r="H25" s="499">
        <v>81715</v>
      </c>
    </row>
    <row r="26" spans="1:10" x14ac:dyDescent="0.2">
      <c r="A26" s="496" t="s">
        <v>300</v>
      </c>
      <c r="B26" s="497">
        <v>43132</v>
      </c>
      <c r="C26" s="498" t="s">
        <v>114</v>
      </c>
      <c r="D26" s="499">
        <v>46866.6</v>
      </c>
      <c r="E26" s="499">
        <v>4217.99</v>
      </c>
      <c r="F26" s="499">
        <v>4217.99</v>
      </c>
      <c r="H26" s="499">
        <v>55303</v>
      </c>
    </row>
    <row r="27" spans="1:10" x14ac:dyDescent="0.2">
      <c r="A27" s="496" t="s">
        <v>301</v>
      </c>
      <c r="B27" s="497">
        <v>43134</v>
      </c>
      <c r="C27" s="498" t="s">
        <v>114</v>
      </c>
      <c r="D27" s="499">
        <v>46082.400000000001</v>
      </c>
      <c r="E27" s="499">
        <v>4147.42</v>
      </c>
      <c r="F27" s="499">
        <v>4147.42</v>
      </c>
      <c r="H27" s="499">
        <v>54377</v>
      </c>
    </row>
    <row r="28" spans="1:10" x14ac:dyDescent="0.2">
      <c r="A28" s="496">
        <v>1262</v>
      </c>
      <c r="B28" s="497">
        <v>43141</v>
      </c>
      <c r="C28" s="498" t="s">
        <v>73</v>
      </c>
      <c r="D28" s="499">
        <v>44278.63</v>
      </c>
      <c r="E28" s="499">
        <v>2747.1</v>
      </c>
      <c r="F28" s="499">
        <v>2747.1</v>
      </c>
      <c r="H28" s="499">
        <v>49773</v>
      </c>
    </row>
    <row r="29" spans="1:10" x14ac:dyDescent="0.2">
      <c r="A29" s="496">
        <v>3891</v>
      </c>
      <c r="B29" s="497">
        <v>43144</v>
      </c>
      <c r="C29" s="498" t="s">
        <v>115</v>
      </c>
      <c r="D29" s="499">
        <v>43159.81</v>
      </c>
      <c r="G29" s="499">
        <v>7768.7658000000001</v>
      </c>
      <c r="H29" s="499">
        <v>50929</v>
      </c>
    </row>
    <row r="30" spans="1:10" x14ac:dyDescent="0.2">
      <c r="A30" s="496" t="s">
        <v>305</v>
      </c>
      <c r="B30" s="497">
        <v>43144</v>
      </c>
      <c r="C30" s="498" t="s">
        <v>114</v>
      </c>
      <c r="D30" s="499">
        <v>40186.620000000003</v>
      </c>
      <c r="E30" s="499">
        <v>3616.7957999999999</v>
      </c>
      <c r="F30" s="499">
        <v>3616.7957999999999</v>
      </c>
      <c r="H30" s="499">
        <v>47420</v>
      </c>
    </row>
    <row r="31" spans="1:10" x14ac:dyDescent="0.2">
      <c r="A31" s="496" t="s">
        <v>306</v>
      </c>
      <c r="B31" s="497">
        <v>43145</v>
      </c>
      <c r="C31" s="498" t="s">
        <v>114</v>
      </c>
      <c r="D31" s="499">
        <v>41307.33</v>
      </c>
      <c r="E31" s="499">
        <v>3717.6597000000002</v>
      </c>
      <c r="F31" s="499">
        <v>3717.6597000000002</v>
      </c>
      <c r="H31" s="499">
        <v>48743</v>
      </c>
    </row>
    <row r="32" spans="1:10" x14ac:dyDescent="0.2">
      <c r="A32" s="496" t="s">
        <v>307</v>
      </c>
      <c r="B32" s="497">
        <v>43146</v>
      </c>
      <c r="C32" s="498" t="s">
        <v>114</v>
      </c>
      <c r="D32" s="499">
        <v>42241.32</v>
      </c>
      <c r="E32" s="499">
        <v>3801.7188000000001</v>
      </c>
      <c r="F32" s="499">
        <v>3801.7188000000001</v>
      </c>
      <c r="H32" s="499">
        <v>49845</v>
      </c>
    </row>
    <row r="33" spans="1:8" x14ac:dyDescent="0.2">
      <c r="A33" s="496" t="s">
        <v>311</v>
      </c>
      <c r="B33" s="497">
        <v>43150</v>
      </c>
      <c r="C33" s="498" t="s">
        <v>309</v>
      </c>
      <c r="D33" s="499">
        <v>54706.735000000001</v>
      </c>
      <c r="E33" s="499">
        <v>2830.569</v>
      </c>
      <c r="F33" s="499">
        <v>2830.569</v>
      </c>
      <c r="H33" s="499">
        <v>60368</v>
      </c>
    </row>
    <row r="34" spans="1:8" x14ac:dyDescent="0.2">
      <c r="A34" s="496">
        <v>4788</v>
      </c>
      <c r="B34" s="497">
        <v>43155</v>
      </c>
      <c r="C34" s="498" t="s">
        <v>115</v>
      </c>
      <c r="D34" s="499">
        <v>32571.54</v>
      </c>
      <c r="G34" s="499">
        <v>5862.8771999999999</v>
      </c>
      <c r="H34" s="499">
        <v>38434</v>
      </c>
    </row>
    <row r="35" spans="1:8" x14ac:dyDescent="0.2">
      <c r="A35" s="496">
        <v>4790</v>
      </c>
      <c r="B35" s="497">
        <v>43155</v>
      </c>
      <c r="C35" s="498" t="s">
        <v>115</v>
      </c>
      <c r="D35" s="499">
        <v>15930.15</v>
      </c>
      <c r="G35" s="499">
        <v>2867.4270000000001</v>
      </c>
      <c r="H35" s="499">
        <v>18798</v>
      </c>
    </row>
    <row r="36" spans="1:8" x14ac:dyDescent="0.2">
      <c r="A36" s="496">
        <v>4793</v>
      </c>
      <c r="B36" s="497">
        <v>43155</v>
      </c>
      <c r="C36" s="498" t="s">
        <v>115</v>
      </c>
      <c r="D36" s="499">
        <v>15930.14</v>
      </c>
      <c r="G36" s="499">
        <v>2867.4252000000001</v>
      </c>
      <c r="H36" s="499">
        <v>18798</v>
      </c>
    </row>
    <row r="37" spans="1:8" x14ac:dyDescent="0.2">
      <c r="A37" s="496">
        <v>4797</v>
      </c>
      <c r="B37" s="497">
        <v>43155</v>
      </c>
      <c r="C37" s="498" t="s">
        <v>115</v>
      </c>
      <c r="D37" s="499">
        <v>31272.27</v>
      </c>
      <c r="G37" s="499">
        <v>5629.0086000000001</v>
      </c>
      <c r="H37" s="499">
        <v>36901</v>
      </c>
    </row>
    <row r="38" spans="1:8" x14ac:dyDescent="0.2">
      <c r="A38" s="496">
        <v>4852</v>
      </c>
      <c r="B38" s="497">
        <v>43155</v>
      </c>
      <c r="C38" s="498" t="s">
        <v>115</v>
      </c>
      <c r="D38" s="499">
        <v>15930.14</v>
      </c>
      <c r="G38" s="499">
        <v>2867.4252000000001</v>
      </c>
      <c r="H38" s="499">
        <v>18798</v>
      </c>
    </row>
    <row r="39" spans="1:8" x14ac:dyDescent="0.2">
      <c r="A39" s="496">
        <v>4861</v>
      </c>
      <c r="B39" s="497">
        <v>43155</v>
      </c>
      <c r="C39" s="498" t="s">
        <v>115</v>
      </c>
      <c r="D39" s="499">
        <v>98861.94</v>
      </c>
      <c r="G39" s="499">
        <v>17795.1492</v>
      </c>
      <c r="H39" s="499">
        <v>116657</v>
      </c>
    </row>
    <row r="40" spans="1:8" x14ac:dyDescent="0.2">
      <c r="A40" s="496">
        <v>4886</v>
      </c>
      <c r="B40" s="497">
        <v>43155</v>
      </c>
      <c r="C40" s="498" t="s">
        <v>115</v>
      </c>
      <c r="D40" s="499">
        <v>6514.31</v>
      </c>
      <c r="G40" s="499">
        <v>1172.5758000000001</v>
      </c>
      <c r="H40" s="499">
        <v>7687</v>
      </c>
    </row>
    <row r="41" spans="1:8" x14ac:dyDescent="0.2">
      <c r="A41" s="496">
        <v>1322</v>
      </c>
      <c r="B41" s="497">
        <v>43158</v>
      </c>
      <c r="C41" s="498" t="s">
        <v>73</v>
      </c>
      <c r="D41" s="499">
        <v>28440.080000000002</v>
      </c>
      <c r="E41" s="499">
        <v>1657</v>
      </c>
      <c r="F41" s="499">
        <v>1657</v>
      </c>
      <c r="H41" s="499">
        <v>31754</v>
      </c>
    </row>
  </sheetData>
  <mergeCells count="4">
    <mergeCell ref="A1:H2"/>
    <mergeCell ref="A3:H3"/>
    <mergeCell ref="A4:H4"/>
    <mergeCell ref="A5:H5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DD27C7"/>
  </sheetPr>
  <dimension ref="A1:XEX450"/>
  <sheetViews>
    <sheetView topLeftCell="A175" zoomScaleNormal="100" workbookViewId="0">
      <selection activeCell="E212" sqref="E212"/>
    </sheetView>
  </sheetViews>
  <sheetFormatPr defaultRowHeight="15" x14ac:dyDescent="0.25"/>
  <cols>
    <col min="1" max="1" width="10.140625" customWidth="1"/>
    <col min="2" max="2" width="10.140625" bestFit="1" customWidth="1"/>
    <col min="3" max="3" width="9.7109375" bestFit="1" customWidth="1"/>
    <col min="4" max="4" width="10.42578125" style="245" bestFit="1" customWidth="1"/>
    <col min="5" max="5" width="19.7109375" customWidth="1"/>
    <col min="6" max="6" width="13" style="247" customWidth="1"/>
  </cols>
  <sheetData>
    <row r="1" spans="1:6" s="1" customFormat="1" x14ac:dyDescent="0.25">
      <c r="A1" s="66" t="s">
        <v>146</v>
      </c>
      <c r="B1" s="66" t="s">
        <v>14</v>
      </c>
      <c r="C1" s="66" t="s">
        <v>57</v>
      </c>
      <c r="D1" s="240" t="s">
        <v>144</v>
      </c>
      <c r="E1" s="66" t="s">
        <v>29</v>
      </c>
      <c r="F1" s="255" t="s">
        <v>145</v>
      </c>
    </row>
    <row r="2" spans="1:6" x14ac:dyDescent="0.25">
      <c r="A2" t="s">
        <v>28</v>
      </c>
      <c r="B2" t="s">
        <v>15</v>
      </c>
      <c r="C2" s="244">
        <v>43070</v>
      </c>
      <c r="D2" s="245">
        <v>1630</v>
      </c>
      <c r="E2" t="s">
        <v>132</v>
      </c>
      <c r="F2" s="247">
        <v>1360.80007</v>
      </c>
    </row>
    <row r="3" spans="1:6" x14ac:dyDescent="0.25">
      <c r="A3" t="s">
        <v>28</v>
      </c>
      <c r="B3" t="s">
        <v>15</v>
      </c>
      <c r="C3" s="244">
        <v>43071</v>
      </c>
      <c r="D3" s="245">
        <v>1631</v>
      </c>
      <c r="E3" t="s">
        <v>128</v>
      </c>
      <c r="F3" s="247">
        <v>14832.72</v>
      </c>
    </row>
    <row r="4" spans="1:6" x14ac:dyDescent="0.25">
      <c r="A4" t="s">
        <v>28</v>
      </c>
      <c r="B4" t="s">
        <v>15</v>
      </c>
      <c r="C4" s="244">
        <v>43071</v>
      </c>
      <c r="D4" s="245">
        <v>1632</v>
      </c>
      <c r="E4" t="s">
        <v>130</v>
      </c>
      <c r="F4" s="247">
        <v>5891.76</v>
      </c>
    </row>
    <row r="5" spans="1:6" x14ac:dyDescent="0.25">
      <c r="A5" t="s">
        <v>28</v>
      </c>
      <c r="B5" t="s">
        <v>17</v>
      </c>
      <c r="C5" s="244">
        <v>43072</v>
      </c>
      <c r="D5" s="245">
        <v>1633</v>
      </c>
      <c r="E5" t="s">
        <v>124</v>
      </c>
      <c r="F5" s="247">
        <v>28205.14</v>
      </c>
    </row>
    <row r="6" spans="1:6" x14ac:dyDescent="0.25">
      <c r="A6" t="s">
        <v>28</v>
      </c>
      <c r="B6" t="s">
        <v>16</v>
      </c>
      <c r="C6" s="244">
        <v>43072</v>
      </c>
      <c r="D6" s="245">
        <v>1633</v>
      </c>
      <c r="E6" t="s">
        <v>124</v>
      </c>
      <c r="F6" s="247">
        <v>6414.54</v>
      </c>
    </row>
    <row r="7" spans="1:6" x14ac:dyDescent="0.25">
      <c r="A7" t="s">
        <v>28</v>
      </c>
      <c r="B7" t="s">
        <v>18</v>
      </c>
      <c r="C7" s="244">
        <v>43072</v>
      </c>
      <c r="D7" s="245">
        <v>1633</v>
      </c>
      <c r="E7" t="s">
        <v>124</v>
      </c>
      <c r="F7" s="247">
        <v>1227.0899999999999</v>
      </c>
    </row>
    <row r="8" spans="1:6" x14ac:dyDescent="0.25">
      <c r="A8" t="s">
        <v>28</v>
      </c>
      <c r="B8" t="s">
        <v>15</v>
      </c>
      <c r="C8" s="244">
        <v>43072</v>
      </c>
      <c r="D8" s="245">
        <v>1634</v>
      </c>
      <c r="E8" t="s">
        <v>129</v>
      </c>
      <c r="F8" s="247">
        <v>20549.759999999998</v>
      </c>
    </row>
    <row r="9" spans="1:6" x14ac:dyDescent="0.25">
      <c r="A9" t="s">
        <v>28</v>
      </c>
      <c r="B9" t="s">
        <v>15</v>
      </c>
      <c r="C9" s="244">
        <v>43073</v>
      </c>
      <c r="D9" s="245">
        <v>1635</v>
      </c>
      <c r="E9" t="s">
        <v>130</v>
      </c>
      <c r="F9" s="247">
        <v>12032.14</v>
      </c>
    </row>
    <row r="10" spans="1:6" x14ac:dyDescent="0.25">
      <c r="A10" t="s">
        <v>32</v>
      </c>
      <c r="B10" t="s">
        <v>15</v>
      </c>
      <c r="C10" s="244">
        <v>43073</v>
      </c>
      <c r="D10" s="245">
        <v>1636</v>
      </c>
      <c r="E10" t="s">
        <v>136</v>
      </c>
      <c r="F10" s="247">
        <v>2199.1</v>
      </c>
    </row>
    <row r="11" spans="1:6" x14ac:dyDescent="0.25">
      <c r="A11" t="s">
        <v>32</v>
      </c>
      <c r="B11" t="s">
        <v>17</v>
      </c>
      <c r="C11" s="244">
        <v>43073</v>
      </c>
      <c r="D11" s="245">
        <v>1636</v>
      </c>
      <c r="E11" t="s">
        <v>136</v>
      </c>
      <c r="F11" s="247">
        <v>1043.32</v>
      </c>
    </row>
    <row r="12" spans="1:6" x14ac:dyDescent="0.25">
      <c r="A12" t="s">
        <v>32</v>
      </c>
      <c r="B12" t="s">
        <v>16</v>
      </c>
      <c r="C12" s="244">
        <v>43073</v>
      </c>
      <c r="D12" s="245">
        <v>1636</v>
      </c>
      <c r="E12" t="s">
        <v>136</v>
      </c>
      <c r="F12" s="247">
        <v>1147.78</v>
      </c>
    </row>
    <row r="13" spans="1:6" x14ac:dyDescent="0.25">
      <c r="A13" t="s">
        <v>28</v>
      </c>
      <c r="B13" t="s">
        <v>17</v>
      </c>
      <c r="C13" s="244">
        <v>43074</v>
      </c>
      <c r="D13" s="245">
        <v>1637</v>
      </c>
      <c r="E13" t="s">
        <v>128</v>
      </c>
      <c r="F13" s="247">
        <v>14256.41</v>
      </c>
    </row>
    <row r="14" spans="1:6" x14ac:dyDescent="0.25">
      <c r="A14" t="s">
        <v>28</v>
      </c>
      <c r="B14" t="s">
        <v>15</v>
      </c>
      <c r="C14" s="244">
        <v>43074</v>
      </c>
      <c r="D14" s="245">
        <v>1638</v>
      </c>
      <c r="E14" t="s">
        <v>128</v>
      </c>
      <c r="F14" s="247">
        <v>15318.24</v>
      </c>
    </row>
    <row r="15" spans="1:6" x14ac:dyDescent="0.25">
      <c r="A15" t="s">
        <v>28</v>
      </c>
      <c r="B15" t="s">
        <v>16</v>
      </c>
      <c r="C15" s="244">
        <v>43074</v>
      </c>
      <c r="D15" s="245">
        <v>1639</v>
      </c>
      <c r="E15" t="s">
        <v>134</v>
      </c>
      <c r="F15" s="247">
        <v>4276.3599999999997</v>
      </c>
    </row>
    <row r="16" spans="1:6" x14ac:dyDescent="0.25">
      <c r="A16" t="s">
        <v>28</v>
      </c>
      <c r="B16" t="s">
        <v>15</v>
      </c>
      <c r="C16" s="244">
        <v>43075</v>
      </c>
      <c r="D16" s="245">
        <v>1640</v>
      </c>
      <c r="E16" t="s">
        <v>124</v>
      </c>
      <c r="F16" s="247">
        <v>13587.84</v>
      </c>
    </row>
    <row r="17" spans="1:6" x14ac:dyDescent="0.25">
      <c r="A17" t="s">
        <v>28</v>
      </c>
      <c r="B17" t="s">
        <v>17</v>
      </c>
      <c r="C17" s="244">
        <v>43075</v>
      </c>
      <c r="D17" s="245">
        <v>1641</v>
      </c>
      <c r="E17" t="s">
        <v>125</v>
      </c>
      <c r="F17" s="247">
        <v>13743.59</v>
      </c>
    </row>
    <row r="18" spans="1:6" x14ac:dyDescent="0.25">
      <c r="A18" t="s">
        <v>28</v>
      </c>
      <c r="B18" t="s">
        <v>16</v>
      </c>
      <c r="C18" s="244">
        <v>43075</v>
      </c>
      <c r="D18" s="245">
        <v>1641</v>
      </c>
      <c r="E18" t="s">
        <v>125</v>
      </c>
      <c r="F18" s="247">
        <v>4704</v>
      </c>
    </row>
    <row r="19" spans="1:6" x14ac:dyDescent="0.25">
      <c r="A19" t="s">
        <v>28</v>
      </c>
      <c r="B19" t="s">
        <v>18</v>
      </c>
      <c r="C19" s="244">
        <v>43075</v>
      </c>
      <c r="D19" s="245">
        <v>1641</v>
      </c>
      <c r="E19" t="s">
        <v>125</v>
      </c>
      <c r="F19" s="247">
        <v>1227.0899999999999</v>
      </c>
    </row>
    <row r="20" spans="1:6" x14ac:dyDescent="0.25">
      <c r="A20" t="s">
        <v>28</v>
      </c>
      <c r="B20" t="s">
        <v>15</v>
      </c>
      <c r="C20" s="244">
        <v>43075</v>
      </c>
      <c r="D20" s="245">
        <v>1642</v>
      </c>
      <c r="E20" t="s">
        <v>125</v>
      </c>
      <c r="F20" s="247">
        <v>4594.8</v>
      </c>
    </row>
    <row r="21" spans="1:6" x14ac:dyDescent="0.25">
      <c r="A21" t="s">
        <v>28</v>
      </c>
      <c r="B21" t="s">
        <v>16</v>
      </c>
      <c r="C21" s="244">
        <v>43075</v>
      </c>
      <c r="D21" s="245">
        <v>1643</v>
      </c>
      <c r="E21" t="s">
        <v>123</v>
      </c>
      <c r="F21" s="247">
        <v>3207.27</v>
      </c>
    </row>
    <row r="22" spans="1:6" x14ac:dyDescent="0.25">
      <c r="A22" t="s">
        <v>28</v>
      </c>
      <c r="B22" t="s">
        <v>17</v>
      </c>
      <c r="C22" s="244">
        <v>43076</v>
      </c>
      <c r="D22" s="245">
        <v>1644</v>
      </c>
      <c r="E22" t="s">
        <v>130</v>
      </c>
      <c r="F22" s="247">
        <v>19948.72</v>
      </c>
    </row>
    <row r="23" spans="1:6" x14ac:dyDescent="0.25">
      <c r="A23" t="s">
        <v>28</v>
      </c>
      <c r="B23" t="s">
        <v>18</v>
      </c>
      <c r="C23" s="244">
        <v>43076</v>
      </c>
      <c r="D23" s="245">
        <v>1644</v>
      </c>
      <c r="E23" t="s">
        <v>130</v>
      </c>
      <c r="F23" s="247">
        <v>1227.0899999999999</v>
      </c>
    </row>
    <row r="24" spans="1:6" x14ac:dyDescent="0.25">
      <c r="A24" t="s">
        <v>28</v>
      </c>
      <c r="B24" t="s">
        <v>16</v>
      </c>
      <c r="C24" s="244">
        <v>43076</v>
      </c>
      <c r="D24" s="245">
        <v>1645</v>
      </c>
      <c r="E24" t="s">
        <v>131</v>
      </c>
      <c r="F24" s="247">
        <v>4276.3599999999997</v>
      </c>
    </row>
    <row r="25" spans="1:6" x14ac:dyDescent="0.25">
      <c r="A25" t="s">
        <v>28</v>
      </c>
      <c r="B25" t="s">
        <v>15</v>
      </c>
      <c r="C25" s="244">
        <v>43077</v>
      </c>
      <c r="D25" s="245">
        <v>1646</v>
      </c>
      <c r="E25" t="s">
        <v>123</v>
      </c>
      <c r="F25" s="247">
        <v>5584.32</v>
      </c>
    </row>
    <row r="26" spans="1:6" x14ac:dyDescent="0.25">
      <c r="A26" t="s">
        <v>28</v>
      </c>
      <c r="B26" t="s">
        <v>17</v>
      </c>
      <c r="C26" s="244">
        <v>43077</v>
      </c>
      <c r="D26" s="245">
        <v>1647</v>
      </c>
      <c r="E26" t="s">
        <v>123</v>
      </c>
      <c r="F26" s="247">
        <v>2256.41</v>
      </c>
    </row>
    <row r="27" spans="1:6" x14ac:dyDescent="0.25">
      <c r="A27" t="s">
        <v>32</v>
      </c>
      <c r="B27" t="s">
        <v>17</v>
      </c>
      <c r="C27" s="244">
        <v>43077</v>
      </c>
      <c r="D27" s="245">
        <v>1648</v>
      </c>
      <c r="E27" t="s">
        <v>138</v>
      </c>
      <c r="F27" s="247">
        <v>7269.56</v>
      </c>
    </row>
    <row r="28" spans="1:6" x14ac:dyDescent="0.25">
      <c r="A28" t="s">
        <v>32</v>
      </c>
      <c r="B28" t="s">
        <v>16</v>
      </c>
      <c r="C28" s="244">
        <v>43077</v>
      </c>
      <c r="D28" s="245">
        <v>1648</v>
      </c>
      <c r="E28" t="s">
        <v>138</v>
      </c>
      <c r="F28" s="247">
        <v>1043.48</v>
      </c>
    </row>
    <row r="29" spans="1:6" x14ac:dyDescent="0.25">
      <c r="A29" t="s">
        <v>28</v>
      </c>
      <c r="B29" t="s">
        <v>15</v>
      </c>
      <c r="C29" s="244">
        <v>43078</v>
      </c>
      <c r="D29" s="245">
        <v>1649</v>
      </c>
      <c r="E29" t="s">
        <v>128</v>
      </c>
      <c r="F29" s="247">
        <v>8653.69</v>
      </c>
    </row>
    <row r="30" spans="1:6" x14ac:dyDescent="0.25">
      <c r="A30" t="s">
        <v>28</v>
      </c>
      <c r="B30" t="s">
        <v>16</v>
      </c>
      <c r="C30" s="244">
        <v>43078</v>
      </c>
      <c r="D30" s="245">
        <v>1650</v>
      </c>
      <c r="E30" t="s">
        <v>128</v>
      </c>
      <c r="F30" s="247">
        <v>2138.19</v>
      </c>
    </row>
    <row r="31" spans="1:6" x14ac:dyDescent="0.25">
      <c r="A31" t="s">
        <v>28</v>
      </c>
      <c r="B31" t="s">
        <v>15</v>
      </c>
      <c r="C31" s="244">
        <v>43079</v>
      </c>
      <c r="D31" s="245">
        <v>1651</v>
      </c>
      <c r="E31" t="s">
        <v>129</v>
      </c>
      <c r="F31" s="247">
        <v>8653.68</v>
      </c>
    </row>
    <row r="32" spans="1:6" x14ac:dyDescent="0.25">
      <c r="A32" t="s">
        <v>28</v>
      </c>
      <c r="B32" t="s">
        <v>15</v>
      </c>
      <c r="C32" s="244">
        <v>43079</v>
      </c>
      <c r="D32" s="245">
        <v>1652</v>
      </c>
      <c r="E32" t="s">
        <v>130</v>
      </c>
      <c r="F32" s="247">
        <v>7230.73</v>
      </c>
    </row>
    <row r="33" spans="1:6" x14ac:dyDescent="0.25">
      <c r="A33" t="s">
        <v>28</v>
      </c>
      <c r="B33" t="s">
        <v>16</v>
      </c>
      <c r="C33" s="244">
        <v>43079</v>
      </c>
      <c r="D33" s="245">
        <v>1653</v>
      </c>
      <c r="E33" t="s">
        <v>132</v>
      </c>
      <c r="F33" s="247">
        <v>4276.3999999999996</v>
      </c>
    </row>
    <row r="34" spans="1:6" x14ac:dyDescent="0.25">
      <c r="A34" t="s">
        <v>28</v>
      </c>
      <c r="B34" t="s">
        <v>15</v>
      </c>
      <c r="C34" s="244">
        <v>43079</v>
      </c>
      <c r="D34" s="245">
        <v>1654</v>
      </c>
      <c r="E34" t="s">
        <v>121</v>
      </c>
      <c r="F34" s="247">
        <v>4693.92</v>
      </c>
    </row>
    <row r="35" spans="1:6" x14ac:dyDescent="0.25">
      <c r="A35" t="s">
        <v>28</v>
      </c>
      <c r="B35" t="s">
        <v>17</v>
      </c>
      <c r="C35" s="244">
        <v>43079</v>
      </c>
      <c r="D35" s="245">
        <v>1655</v>
      </c>
      <c r="E35" t="s">
        <v>121</v>
      </c>
      <c r="F35" s="247">
        <v>5282.05</v>
      </c>
    </row>
    <row r="36" spans="1:6" x14ac:dyDescent="0.25">
      <c r="A36" t="s">
        <v>28</v>
      </c>
      <c r="B36" t="s">
        <v>16</v>
      </c>
      <c r="C36" s="244">
        <v>43079</v>
      </c>
      <c r="D36" s="245">
        <v>1655</v>
      </c>
      <c r="E36" t="s">
        <v>121</v>
      </c>
      <c r="F36" s="247">
        <v>6414.56</v>
      </c>
    </row>
    <row r="37" spans="1:6" x14ac:dyDescent="0.25">
      <c r="A37" t="s">
        <v>28</v>
      </c>
      <c r="B37" t="s">
        <v>15</v>
      </c>
      <c r="C37" s="244">
        <v>43079</v>
      </c>
      <c r="D37" s="245">
        <v>1656</v>
      </c>
      <c r="E37" t="s">
        <v>132</v>
      </c>
      <c r="F37" s="247">
        <v>3175.21</v>
      </c>
    </row>
    <row r="38" spans="1:6" x14ac:dyDescent="0.25">
      <c r="A38" t="s">
        <v>32</v>
      </c>
      <c r="B38" t="s">
        <v>16</v>
      </c>
      <c r="C38" s="244">
        <v>43080</v>
      </c>
      <c r="D38" s="245">
        <v>1657</v>
      </c>
      <c r="E38" t="s">
        <v>137</v>
      </c>
      <c r="F38" s="247">
        <v>3339.13</v>
      </c>
    </row>
    <row r="39" spans="1:6" x14ac:dyDescent="0.25">
      <c r="A39" t="s">
        <v>28</v>
      </c>
      <c r="B39" t="s">
        <v>15</v>
      </c>
      <c r="C39" s="244">
        <v>43080</v>
      </c>
      <c r="D39" s="245">
        <v>1658</v>
      </c>
      <c r="E39" t="s">
        <v>128</v>
      </c>
      <c r="F39" s="247">
        <v>11874.24</v>
      </c>
    </row>
    <row r="40" spans="1:6" x14ac:dyDescent="0.25">
      <c r="A40" t="s">
        <v>32</v>
      </c>
      <c r="B40" t="s">
        <v>58</v>
      </c>
      <c r="C40" s="244">
        <v>43080</v>
      </c>
      <c r="D40" s="245">
        <v>1659</v>
      </c>
      <c r="E40" t="s">
        <v>139</v>
      </c>
      <c r="F40" s="247">
        <v>1715.06</v>
      </c>
    </row>
    <row r="41" spans="1:6" x14ac:dyDescent="0.25">
      <c r="A41" t="s">
        <v>28</v>
      </c>
      <c r="B41" t="s">
        <v>15</v>
      </c>
      <c r="C41" s="244">
        <v>43082</v>
      </c>
      <c r="D41" s="245">
        <v>1660</v>
      </c>
      <c r="E41" t="s">
        <v>130</v>
      </c>
      <c r="F41" s="247">
        <v>9124.92</v>
      </c>
    </row>
    <row r="42" spans="1:6" x14ac:dyDescent="0.25">
      <c r="A42" t="s">
        <v>28</v>
      </c>
      <c r="B42" t="s">
        <v>15</v>
      </c>
      <c r="C42" s="244">
        <v>43082</v>
      </c>
      <c r="D42" s="245">
        <v>1661</v>
      </c>
      <c r="E42" t="s">
        <v>129</v>
      </c>
      <c r="F42" s="247">
        <v>4788</v>
      </c>
    </row>
    <row r="43" spans="1:6" x14ac:dyDescent="0.25">
      <c r="A43" t="s">
        <v>28</v>
      </c>
      <c r="B43" t="s">
        <v>17</v>
      </c>
      <c r="C43" s="244">
        <v>43082</v>
      </c>
      <c r="D43" s="245">
        <v>1662</v>
      </c>
      <c r="E43" t="s">
        <v>131</v>
      </c>
      <c r="F43" s="247">
        <v>9880.34</v>
      </c>
    </row>
    <row r="44" spans="1:6" x14ac:dyDescent="0.25">
      <c r="A44" t="s">
        <v>28</v>
      </c>
      <c r="B44" t="s">
        <v>18</v>
      </c>
      <c r="C44" s="244">
        <v>43082</v>
      </c>
      <c r="D44" s="245">
        <v>1662</v>
      </c>
      <c r="E44" t="s">
        <v>131</v>
      </c>
      <c r="F44" s="247">
        <v>613.54999999999995</v>
      </c>
    </row>
    <row r="45" spans="1:6" x14ac:dyDescent="0.25">
      <c r="A45" t="s">
        <v>28</v>
      </c>
      <c r="B45" t="s">
        <v>15</v>
      </c>
      <c r="C45" s="244">
        <v>43082</v>
      </c>
      <c r="D45" s="245">
        <v>1663</v>
      </c>
      <c r="E45" t="s">
        <v>131</v>
      </c>
      <c r="F45" s="247">
        <v>4280.6400000000003</v>
      </c>
    </row>
    <row r="46" spans="1:6" x14ac:dyDescent="0.25">
      <c r="A46" t="s">
        <v>28</v>
      </c>
      <c r="B46" t="s">
        <v>16</v>
      </c>
      <c r="C46" s="244">
        <v>43083</v>
      </c>
      <c r="D46" s="245">
        <v>1664</v>
      </c>
      <c r="E46" t="s">
        <v>125</v>
      </c>
      <c r="F46" s="247">
        <v>6949.12</v>
      </c>
    </row>
    <row r="47" spans="1:6" x14ac:dyDescent="0.25">
      <c r="A47" t="s">
        <v>28</v>
      </c>
      <c r="B47" t="s">
        <v>15</v>
      </c>
      <c r="C47" s="244">
        <v>43083</v>
      </c>
      <c r="D47" s="245">
        <v>1665</v>
      </c>
      <c r="E47" t="s">
        <v>125</v>
      </c>
      <c r="F47" s="247">
        <v>2620.8000000000002</v>
      </c>
    </row>
    <row r="48" spans="1:6" x14ac:dyDescent="0.25">
      <c r="A48" t="s">
        <v>28</v>
      </c>
      <c r="B48" t="s">
        <v>16</v>
      </c>
      <c r="C48" s="244">
        <v>43083</v>
      </c>
      <c r="D48" s="245">
        <v>1666</v>
      </c>
      <c r="E48" t="s">
        <v>124</v>
      </c>
      <c r="F48" s="247">
        <v>5131.67</v>
      </c>
    </row>
    <row r="49" spans="1:6" x14ac:dyDescent="0.25">
      <c r="A49" t="s">
        <v>28</v>
      </c>
      <c r="B49" t="s">
        <v>17</v>
      </c>
      <c r="C49" s="244">
        <v>43083</v>
      </c>
      <c r="D49" s="245">
        <v>1667</v>
      </c>
      <c r="E49" t="s">
        <v>128</v>
      </c>
      <c r="F49" s="247">
        <v>5743.58</v>
      </c>
    </row>
    <row r="50" spans="1:6" x14ac:dyDescent="0.25">
      <c r="A50" t="s">
        <v>28</v>
      </c>
      <c r="B50" t="s">
        <v>18</v>
      </c>
      <c r="C50" s="244">
        <v>43083</v>
      </c>
      <c r="D50" s="245">
        <v>1667</v>
      </c>
      <c r="E50" t="s">
        <v>128</v>
      </c>
      <c r="F50" s="247">
        <v>1073.71</v>
      </c>
    </row>
    <row r="51" spans="1:6" x14ac:dyDescent="0.25">
      <c r="A51" t="s">
        <v>28</v>
      </c>
      <c r="B51" t="s">
        <v>17</v>
      </c>
      <c r="C51" s="244">
        <v>43084</v>
      </c>
      <c r="D51" s="245">
        <v>1668</v>
      </c>
      <c r="E51" t="s">
        <v>132</v>
      </c>
      <c r="F51" s="247">
        <v>8576.9</v>
      </c>
    </row>
    <row r="52" spans="1:6" x14ac:dyDescent="0.25">
      <c r="A52" t="s">
        <v>28</v>
      </c>
      <c r="B52" t="s">
        <v>17</v>
      </c>
      <c r="C52" s="244">
        <v>43084</v>
      </c>
      <c r="D52" s="245">
        <v>1669</v>
      </c>
      <c r="E52" t="s">
        <v>134</v>
      </c>
      <c r="F52" s="247">
        <v>4461.5200000000004</v>
      </c>
    </row>
    <row r="53" spans="1:6" x14ac:dyDescent="0.25">
      <c r="A53" t="s">
        <v>28</v>
      </c>
      <c r="B53" t="s">
        <v>15</v>
      </c>
      <c r="C53" s="244">
        <v>43085</v>
      </c>
      <c r="D53" s="245">
        <v>1670</v>
      </c>
      <c r="E53" t="s">
        <v>128</v>
      </c>
      <c r="F53" s="247">
        <v>7039.2</v>
      </c>
    </row>
    <row r="54" spans="1:6" x14ac:dyDescent="0.25">
      <c r="A54" t="s">
        <v>28</v>
      </c>
      <c r="B54" t="s">
        <v>15</v>
      </c>
      <c r="C54" s="244">
        <v>43088</v>
      </c>
      <c r="D54" s="245">
        <v>1671</v>
      </c>
      <c r="E54" t="s">
        <v>128</v>
      </c>
      <c r="F54" s="247">
        <v>9938.8863000000001</v>
      </c>
    </row>
    <row r="55" spans="1:6" x14ac:dyDescent="0.25">
      <c r="A55" t="s">
        <v>28</v>
      </c>
      <c r="B55" t="s">
        <v>15</v>
      </c>
      <c r="C55" s="244">
        <v>43088</v>
      </c>
      <c r="D55" s="245">
        <v>1672</v>
      </c>
      <c r="E55" t="s">
        <v>130</v>
      </c>
      <c r="F55" s="247">
        <v>10987.208919999999</v>
      </c>
    </row>
    <row r="56" spans="1:6" x14ac:dyDescent="0.25">
      <c r="A56" t="s">
        <v>28</v>
      </c>
      <c r="B56" t="s">
        <v>15</v>
      </c>
      <c r="C56" s="244">
        <v>43088</v>
      </c>
      <c r="D56" s="245">
        <v>1673</v>
      </c>
      <c r="E56" t="s">
        <v>129</v>
      </c>
      <c r="F56" s="247">
        <v>14913.36392</v>
      </c>
    </row>
    <row r="57" spans="1:6" x14ac:dyDescent="0.25">
      <c r="A57" t="s">
        <v>28</v>
      </c>
      <c r="B57" t="s">
        <v>17</v>
      </c>
      <c r="C57" s="244">
        <v>43089</v>
      </c>
      <c r="D57" s="245">
        <v>1674</v>
      </c>
      <c r="E57" t="s">
        <v>123</v>
      </c>
      <c r="F57" s="247">
        <v>13282.043180000001</v>
      </c>
    </row>
    <row r="58" spans="1:6" x14ac:dyDescent="0.25">
      <c r="A58" t="s">
        <v>28</v>
      </c>
      <c r="B58" t="s">
        <v>16</v>
      </c>
      <c r="C58" s="244">
        <v>43089</v>
      </c>
      <c r="D58" s="245">
        <v>1674</v>
      </c>
      <c r="E58" t="s">
        <v>123</v>
      </c>
      <c r="F58" s="247">
        <v>8445.8304000000007</v>
      </c>
    </row>
    <row r="59" spans="1:6" x14ac:dyDescent="0.25">
      <c r="A59" t="s">
        <v>28</v>
      </c>
      <c r="B59" t="s">
        <v>18</v>
      </c>
      <c r="C59" s="244">
        <v>43089</v>
      </c>
      <c r="D59" s="245">
        <v>1674</v>
      </c>
      <c r="E59" t="s">
        <v>123</v>
      </c>
      <c r="F59" s="247">
        <v>1712.8790000000001</v>
      </c>
    </row>
    <row r="60" spans="1:6" x14ac:dyDescent="0.25">
      <c r="A60" t="s">
        <v>28</v>
      </c>
      <c r="B60" t="s">
        <v>58</v>
      </c>
      <c r="C60" s="244">
        <v>43089</v>
      </c>
      <c r="D60" s="245">
        <v>1674</v>
      </c>
      <c r="E60" t="s">
        <v>123</v>
      </c>
      <c r="F60" s="247">
        <v>2172.4153999999999</v>
      </c>
    </row>
    <row r="61" spans="1:6" x14ac:dyDescent="0.25">
      <c r="A61" t="s">
        <v>28</v>
      </c>
      <c r="B61" t="s">
        <v>15</v>
      </c>
      <c r="C61" s="244">
        <v>43089</v>
      </c>
      <c r="D61" s="245">
        <v>1675</v>
      </c>
      <c r="E61" t="s">
        <v>123</v>
      </c>
      <c r="F61" s="247">
        <v>10820.897360000001</v>
      </c>
    </row>
    <row r="62" spans="1:6" x14ac:dyDescent="0.25">
      <c r="A62" t="s">
        <v>28</v>
      </c>
      <c r="B62" t="s">
        <v>15</v>
      </c>
      <c r="C62" s="244">
        <v>43089</v>
      </c>
      <c r="D62" s="245">
        <v>1676</v>
      </c>
      <c r="E62" t="s">
        <v>122</v>
      </c>
      <c r="F62" s="247">
        <v>1320.48</v>
      </c>
    </row>
    <row r="63" spans="1:6" x14ac:dyDescent="0.25">
      <c r="A63" t="s">
        <v>28</v>
      </c>
      <c r="B63" t="s">
        <v>17</v>
      </c>
      <c r="C63" s="244">
        <v>43089</v>
      </c>
      <c r="D63" s="245">
        <v>1676</v>
      </c>
      <c r="E63" t="s">
        <v>122</v>
      </c>
      <c r="F63" s="247">
        <v>5538.47</v>
      </c>
    </row>
    <row r="64" spans="1:6" x14ac:dyDescent="0.25">
      <c r="A64" t="s">
        <v>28</v>
      </c>
      <c r="B64" t="s">
        <v>16</v>
      </c>
      <c r="C64" s="244">
        <v>43089</v>
      </c>
      <c r="D64" s="245">
        <v>1676</v>
      </c>
      <c r="E64" t="s">
        <v>122</v>
      </c>
      <c r="F64" s="247">
        <v>4704.04</v>
      </c>
    </row>
    <row r="65" spans="1:6" x14ac:dyDescent="0.25">
      <c r="A65" t="s">
        <v>28</v>
      </c>
      <c r="B65" t="s">
        <v>18</v>
      </c>
      <c r="C65" s="244">
        <v>43089</v>
      </c>
      <c r="D65" s="245">
        <v>1676</v>
      </c>
      <c r="E65" t="s">
        <v>122</v>
      </c>
      <c r="F65" s="247">
        <v>613.57000000000005</v>
      </c>
    </row>
    <row r="66" spans="1:6" x14ac:dyDescent="0.25">
      <c r="A66" t="s">
        <v>28</v>
      </c>
      <c r="B66" t="s">
        <v>17</v>
      </c>
      <c r="C66" s="244">
        <v>43090</v>
      </c>
      <c r="D66" s="245">
        <v>1677</v>
      </c>
      <c r="E66" t="s">
        <v>128</v>
      </c>
      <c r="F66" s="247">
        <v>5538.4701800000003</v>
      </c>
    </row>
    <row r="67" spans="1:6" x14ac:dyDescent="0.25">
      <c r="A67" t="s">
        <v>28</v>
      </c>
      <c r="B67" t="s">
        <v>18</v>
      </c>
      <c r="C67" s="244">
        <v>43090</v>
      </c>
      <c r="D67" s="245">
        <v>1677</v>
      </c>
      <c r="E67" t="s">
        <v>128</v>
      </c>
      <c r="F67" s="247">
        <v>852.18</v>
      </c>
    </row>
    <row r="68" spans="1:6" x14ac:dyDescent="0.25">
      <c r="A68" t="s">
        <v>28</v>
      </c>
      <c r="B68" t="s">
        <v>58</v>
      </c>
      <c r="C68" s="244">
        <v>43090</v>
      </c>
      <c r="D68" s="245">
        <v>1677</v>
      </c>
      <c r="E68" t="s">
        <v>128</v>
      </c>
      <c r="F68" s="247">
        <v>2565.5206000000003</v>
      </c>
    </row>
    <row r="69" spans="1:6" x14ac:dyDescent="0.25">
      <c r="A69" t="s">
        <v>28</v>
      </c>
      <c r="B69" t="s">
        <v>16</v>
      </c>
      <c r="C69" s="244">
        <v>43090</v>
      </c>
      <c r="D69" s="245">
        <v>1678</v>
      </c>
      <c r="E69" t="s">
        <v>130</v>
      </c>
      <c r="F69" s="247">
        <v>3634.9123299999997</v>
      </c>
    </row>
    <row r="70" spans="1:6" x14ac:dyDescent="0.25">
      <c r="A70" t="s">
        <v>28</v>
      </c>
      <c r="B70" t="s">
        <v>58</v>
      </c>
      <c r="C70" s="244">
        <v>43090</v>
      </c>
      <c r="D70" s="245">
        <v>1678</v>
      </c>
      <c r="E70" t="s">
        <v>130</v>
      </c>
      <c r="F70" s="247">
        <v>3093.0986000000003</v>
      </c>
    </row>
    <row r="71" spans="1:6" x14ac:dyDescent="0.25">
      <c r="A71" t="s">
        <v>28</v>
      </c>
      <c r="B71" t="s">
        <v>15</v>
      </c>
      <c r="C71" s="244">
        <v>43091</v>
      </c>
      <c r="D71" s="245">
        <v>1679</v>
      </c>
      <c r="E71" t="s">
        <v>132</v>
      </c>
      <c r="F71" s="247">
        <v>6864.4770099999996</v>
      </c>
    </row>
    <row r="72" spans="1:6" x14ac:dyDescent="0.25">
      <c r="A72" t="s">
        <v>28</v>
      </c>
      <c r="B72" t="s">
        <v>58</v>
      </c>
      <c r="C72" s="244">
        <v>43091</v>
      </c>
      <c r="D72" s="245">
        <v>1680</v>
      </c>
      <c r="E72" t="s">
        <v>132</v>
      </c>
      <c r="F72" s="247">
        <v>1525.86555</v>
      </c>
    </row>
    <row r="73" spans="1:6" x14ac:dyDescent="0.25">
      <c r="A73" t="s">
        <v>28</v>
      </c>
      <c r="B73" t="s">
        <v>15</v>
      </c>
      <c r="C73" s="244">
        <v>43095</v>
      </c>
      <c r="D73" s="245">
        <v>1681</v>
      </c>
      <c r="E73" t="s">
        <v>133</v>
      </c>
      <c r="F73" s="247">
        <v>9982.7225900000012</v>
      </c>
    </row>
    <row r="74" spans="1:6" x14ac:dyDescent="0.25">
      <c r="A74" t="s">
        <v>28</v>
      </c>
      <c r="B74" t="s">
        <v>17</v>
      </c>
      <c r="C74" s="244">
        <v>43095</v>
      </c>
      <c r="D74" s="245">
        <v>1682</v>
      </c>
      <c r="E74" t="s">
        <v>133</v>
      </c>
      <c r="F74" s="247">
        <v>9743.5771800000002</v>
      </c>
    </row>
    <row r="75" spans="1:6" x14ac:dyDescent="0.25">
      <c r="A75" t="s">
        <v>28</v>
      </c>
      <c r="B75" t="s">
        <v>16</v>
      </c>
      <c r="C75" s="244">
        <v>43095</v>
      </c>
      <c r="D75" s="245">
        <v>1682</v>
      </c>
      <c r="E75" t="s">
        <v>133</v>
      </c>
      <c r="F75" s="247">
        <v>2138.1808000000001</v>
      </c>
    </row>
    <row r="76" spans="1:6" x14ac:dyDescent="0.25">
      <c r="A76" t="s">
        <v>32</v>
      </c>
      <c r="B76" t="s">
        <v>17</v>
      </c>
      <c r="C76" s="244">
        <v>43095</v>
      </c>
      <c r="D76" s="245">
        <v>1683</v>
      </c>
      <c r="E76" t="s">
        <v>147</v>
      </c>
      <c r="F76" s="247">
        <v>8765.2127500000006</v>
      </c>
    </row>
    <row r="77" spans="1:6" x14ac:dyDescent="0.25">
      <c r="A77" t="s">
        <v>28</v>
      </c>
      <c r="B77" t="s">
        <v>16</v>
      </c>
      <c r="C77" s="244">
        <v>43095</v>
      </c>
      <c r="D77" s="245">
        <v>1684</v>
      </c>
      <c r="E77" t="s">
        <v>125</v>
      </c>
      <c r="F77" s="247">
        <v>6200.7232000000004</v>
      </c>
    </row>
    <row r="78" spans="1:6" x14ac:dyDescent="0.25">
      <c r="A78" t="s">
        <v>28</v>
      </c>
      <c r="B78" t="s">
        <v>18</v>
      </c>
      <c r="C78" s="244">
        <v>43095</v>
      </c>
      <c r="D78" s="245">
        <v>1684</v>
      </c>
      <c r="E78" t="s">
        <v>125</v>
      </c>
      <c r="F78" s="247">
        <v>1065.2249999999999</v>
      </c>
    </row>
    <row r="79" spans="1:6" x14ac:dyDescent="0.25">
      <c r="A79" t="s">
        <v>28</v>
      </c>
      <c r="B79" t="s">
        <v>58</v>
      </c>
      <c r="C79" s="244">
        <v>43095</v>
      </c>
      <c r="D79" s="245">
        <v>1684</v>
      </c>
      <c r="E79" t="s">
        <v>125</v>
      </c>
      <c r="F79" s="247">
        <v>3827.5810999999999</v>
      </c>
    </row>
    <row r="80" spans="1:6" x14ac:dyDescent="0.25">
      <c r="A80" t="s">
        <v>28</v>
      </c>
      <c r="B80" t="s">
        <v>16</v>
      </c>
      <c r="C80" s="244">
        <v>43095</v>
      </c>
      <c r="D80" s="245">
        <v>1685</v>
      </c>
      <c r="E80" t="s">
        <v>124</v>
      </c>
      <c r="F80" s="247">
        <v>5880</v>
      </c>
    </row>
    <row r="81" spans="1:6" x14ac:dyDescent="0.25">
      <c r="A81" t="s">
        <v>28</v>
      </c>
      <c r="B81" t="s">
        <v>58</v>
      </c>
      <c r="C81" s="244">
        <v>43095</v>
      </c>
      <c r="D81" s="245">
        <v>1685</v>
      </c>
      <c r="E81" t="s">
        <v>124</v>
      </c>
      <c r="F81" s="247">
        <v>4075.85</v>
      </c>
    </row>
    <row r="82" spans="1:6" x14ac:dyDescent="0.25">
      <c r="A82" t="s">
        <v>28</v>
      </c>
      <c r="B82" t="s">
        <v>15</v>
      </c>
      <c r="C82" s="244">
        <v>43095</v>
      </c>
      <c r="D82" s="245">
        <v>1686</v>
      </c>
      <c r="E82" t="s">
        <v>124</v>
      </c>
      <c r="F82" s="247">
        <v>18431.28541</v>
      </c>
    </row>
    <row r="83" spans="1:6" x14ac:dyDescent="0.25">
      <c r="A83" t="s">
        <v>28</v>
      </c>
      <c r="B83" t="s">
        <v>17</v>
      </c>
      <c r="C83" s="244">
        <v>43097</v>
      </c>
      <c r="D83" s="245">
        <v>1687</v>
      </c>
      <c r="E83" t="s">
        <v>126</v>
      </c>
      <c r="F83" s="247">
        <v>10769.232</v>
      </c>
    </row>
    <row r="84" spans="1:6" x14ac:dyDescent="0.25">
      <c r="A84" t="s">
        <v>28</v>
      </c>
      <c r="B84" t="s">
        <v>16</v>
      </c>
      <c r="C84" s="244">
        <v>43097</v>
      </c>
      <c r="D84" s="245">
        <v>1687</v>
      </c>
      <c r="E84" t="s">
        <v>126</v>
      </c>
      <c r="F84" s="247">
        <v>4276.366</v>
      </c>
    </row>
    <row r="85" spans="1:6" x14ac:dyDescent="0.25">
      <c r="A85" t="s">
        <v>32</v>
      </c>
      <c r="B85" t="s">
        <v>17</v>
      </c>
      <c r="C85" s="244">
        <v>43097</v>
      </c>
      <c r="D85" s="245">
        <v>1688</v>
      </c>
      <c r="E85" t="s">
        <v>138</v>
      </c>
      <c r="F85" s="247">
        <v>10643.483999999999</v>
      </c>
    </row>
    <row r="86" spans="1:6" x14ac:dyDescent="0.25">
      <c r="A86" t="s">
        <v>28</v>
      </c>
      <c r="B86" t="s">
        <v>15</v>
      </c>
      <c r="C86" s="244">
        <v>43097</v>
      </c>
      <c r="D86" s="245">
        <v>1689</v>
      </c>
      <c r="E86" t="s">
        <v>125</v>
      </c>
      <c r="F86" s="247">
        <v>17377.921999999999</v>
      </c>
    </row>
    <row r="87" spans="1:6" x14ac:dyDescent="0.25">
      <c r="A87" t="s">
        <v>28</v>
      </c>
      <c r="B87" t="s">
        <v>15</v>
      </c>
      <c r="C87" s="244">
        <v>43097</v>
      </c>
      <c r="D87" s="245">
        <v>1690</v>
      </c>
      <c r="E87" t="s">
        <v>126</v>
      </c>
      <c r="F87" s="247">
        <v>11385.362000000001</v>
      </c>
    </row>
    <row r="88" spans="1:6" x14ac:dyDescent="0.25">
      <c r="A88" t="s">
        <v>28</v>
      </c>
      <c r="B88" t="s">
        <v>15</v>
      </c>
      <c r="C88" s="244">
        <v>43097</v>
      </c>
      <c r="D88" s="245">
        <v>1692</v>
      </c>
      <c r="E88" t="s">
        <v>132</v>
      </c>
      <c r="F88" s="247">
        <v>6032.88</v>
      </c>
    </row>
    <row r="89" spans="1:6" x14ac:dyDescent="0.25">
      <c r="A89" t="s">
        <v>28</v>
      </c>
      <c r="B89" t="s">
        <v>15</v>
      </c>
      <c r="C89" s="244">
        <v>43098</v>
      </c>
      <c r="D89" s="245">
        <v>1693</v>
      </c>
      <c r="E89" t="s">
        <v>129</v>
      </c>
      <c r="F89" s="247">
        <v>15360.411</v>
      </c>
    </row>
    <row r="90" spans="1:6" x14ac:dyDescent="0.25">
      <c r="A90" t="s">
        <v>28</v>
      </c>
      <c r="B90" t="s">
        <v>17</v>
      </c>
      <c r="C90" s="244">
        <v>43098</v>
      </c>
      <c r="D90" s="245">
        <v>1694</v>
      </c>
      <c r="E90" t="s">
        <v>132</v>
      </c>
      <c r="F90" s="247">
        <v>20307.682000000001</v>
      </c>
    </row>
    <row r="91" spans="1:6" x14ac:dyDescent="0.25">
      <c r="A91" t="s">
        <v>28</v>
      </c>
      <c r="B91" t="s">
        <v>16</v>
      </c>
      <c r="C91" s="244">
        <v>43098</v>
      </c>
      <c r="D91" s="245">
        <v>1694</v>
      </c>
      <c r="E91" t="s">
        <v>132</v>
      </c>
      <c r="F91" s="247">
        <v>2138.1799999999998</v>
      </c>
    </row>
    <row r="92" spans="1:6" x14ac:dyDescent="0.25">
      <c r="A92" t="s">
        <v>28</v>
      </c>
      <c r="B92" t="s">
        <v>17</v>
      </c>
      <c r="C92" s="244">
        <v>43098</v>
      </c>
      <c r="D92" s="245">
        <v>1695</v>
      </c>
      <c r="E92" t="s">
        <v>129</v>
      </c>
      <c r="F92" s="247">
        <v>21538.47</v>
      </c>
    </row>
    <row r="93" spans="1:6" x14ac:dyDescent="0.25">
      <c r="A93" t="s">
        <v>28</v>
      </c>
      <c r="B93" t="s">
        <v>16</v>
      </c>
      <c r="C93" s="244">
        <v>43098</v>
      </c>
      <c r="D93" s="245">
        <v>1695</v>
      </c>
      <c r="E93" t="s">
        <v>129</v>
      </c>
      <c r="F93" s="247">
        <v>7804.3599999999988</v>
      </c>
    </row>
    <row r="94" spans="1:6" x14ac:dyDescent="0.25">
      <c r="A94" t="s">
        <v>28</v>
      </c>
      <c r="B94" t="s">
        <v>18</v>
      </c>
      <c r="C94" s="244">
        <v>43098</v>
      </c>
      <c r="D94" s="245">
        <v>1695</v>
      </c>
      <c r="E94" t="s">
        <v>129</v>
      </c>
      <c r="F94" s="247">
        <v>2079.3200000000002</v>
      </c>
    </row>
    <row r="95" spans="1:6" x14ac:dyDescent="0.25">
      <c r="A95" t="s">
        <v>28</v>
      </c>
      <c r="B95" t="s">
        <v>58</v>
      </c>
      <c r="C95" s="244">
        <v>43098</v>
      </c>
      <c r="D95" s="245">
        <v>1695</v>
      </c>
      <c r="E95" t="s">
        <v>129</v>
      </c>
      <c r="F95" s="247">
        <v>3387.9319999999998</v>
      </c>
    </row>
    <row r="96" spans="1:6" x14ac:dyDescent="0.25">
      <c r="A96" t="s">
        <v>28</v>
      </c>
      <c r="B96" t="s">
        <v>15</v>
      </c>
      <c r="C96" s="244">
        <v>43099</v>
      </c>
      <c r="D96" s="245">
        <v>1696</v>
      </c>
      <c r="E96" t="s">
        <v>128</v>
      </c>
      <c r="F96" s="247">
        <v>23270.681000000004</v>
      </c>
    </row>
    <row r="97" spans="1:6 16378:16378" x14ac:dyDescent="0.25">
      <c r="A97" t="s">
        <v>28</v>
      </c>
      <c r="B97" t="s">
        <v>15</v>
      </c>
      <c r="C97" s="244">
        <v>43099</v>
      </c>
      <c r="D97" s="245">
        <v>1697</v>
      </c>
      <c r="E97" t="s">
        <v>130</v>
      </c>
      <c r="F97" s="247">
        <v>20370.921999999999</v>
      </c>
    </row>
    <row r="98" spans="1:6 16378:16378" x14ac:dyDescent="0.25">
      <c r="A98" t="s">
        <v>28</v>
      </c>
      <c r="B98" t="s">
        <v>17</v>
      </c>
      <c r="C98" s="244">
        <v>43099</v>
      </c>
      <c r="D98" s="245">
        <v>1698</v>
      </c>
      <c r="E98" t="s">
        <v>128</v>
      </c>
      <c r="F98" s="247">
        <v>21085.452000000001</v>
      </c>
    </row>
    <row r="99" spans="1:6 16378:16378" x14ac:dyDescent="0.25">
      <c r="A99" t="s">
        <v>28</v>
      </c>
      <c r="B99" t="s">
        <v>16</v>
      </c>
      <c r="C99" s="244">
        <v>43099</v>
      </c>
      <c r="D99" s="245">
        <v>1698</v>
      </c>
      <c r="E99" t="s">
        <v>128</v>
      </c>
      <c r="F99" s="247">
        <v>4810.91</v>
      </c>
    </row>
    <row r="100" spans="1:6 16378:16378" x14ac:dyDescent="0.25">
      <c r="A100" t="s">
        <v>28</v>
      </c>
      <c r="B100" t="s">
        <v>15</v>
      </c>
      <c r="C100" s="244">
        <v>43103</v>
      </c>
      <c r="D100" s="245">
        <v>1699</v>
      </c>
      <c r="E100" t="s">
        <v>130</v>
      </c>
      <c r="F100" s="247">
        <v>7544.8820000000005</v>
      </c>
    </row>
    <row r="101" spans="1:6 16378:16378" x14ac:dyDescent="0.25">
      <c r="A101" t="s">
        <v>28</v>
      </c>
      <c r="B101" t="s">
        <v>15</v>
      </c>
      <c r="C101" s="244">
        <v>43104</v>
      </c>
      <c r="D101" s="245">
        <v>1700</v>
      </c>
      <c r="E101" t="s">
        <v>132</v>
      </c>
      <c r="F101" s="247">
        <v>4435.2</v>
      </c>
    </row>
    <row r="102" spans="1:6 16378:16378" x14ac:dyDescent="0.25">
      <c r="A102" t="s">
        <v>28</v>
      </c>
      <c r="B102" t="s">
        <v>15</v>
      </c>
      <c r="C102" s="244">
        <v>43104</v>
      </c>
      <c r="D102" s="245">
        <v>1701</v>
      </c>
      <c r="E102" t="s">
        <v>129</v>
      </c>
      <c r="F102" s="247">
        <v>14283.362000000001</v>
      </c>
      <c r="XEX102">
        <f>SUM(D102:XEW102)</f>
        <v>15984.362000000001</v>
      </c>
    </row>
    <row r="103" spans="1:6 16378:16378" x14ac:dyDescent="0.25">
      <c r="A103" t="s">
        <v>28</v>
      </c>
      <c r="B103" t="s">
        <v>17</v>
      </c>
      <c r="C103" s="244">
        <v>43104</v>
      </c>
      <c r="D103" s="245">
        <v>1702</v>
      </c>
      <c r="E103" t="s">
        <v>134</v>
      </c>
      <c r="F103" s="247">
        <v>5282.0479999999998</v>
      </c>
    </row>
    <row r="104" spans="1:6 16378:16378" x14ac:dyDescent="0.25">
      <c r="A104" t="s">
        <v>28</v>
      </c>
      <c r="B104" t="s">
        <v>17</v>
      </c>
      <c r="C104" s="244">
        <v>43106</v>
      </c>
      <c r="D104" s="245">
        <v>1703</v>
      </c>
      <c r="E104" t="s">
        <v>124</v>
      </c>
      <c r="F104" s="247">
        <v>20512.803000000004</v>
      </c>
    </row>
    <row r="105" spans="1:6 16378:16378" x14ac:dyDescent="0.25">
      <c r="A105" t="s">
        <v>28</v>
      </c>
      <c r="B105" t="s">
        <v>18</v>
      </c>
      <c r="C105" s="244">
        <v>43106</v>
      </c>
      <c r="D105" s="245">
        <v>1703</v>
      </c>
      <c r="E105" t="s">
        <v>124</v>
      </c>
      <c r="F105" s="247">
        <v>1697.5320000000002</v>
      </c>
    </row>
    <row r="106" spans="1:6 16378:16378" x14ac:dyDescent="0.25">
      <c r="A106" t="s">
        <v>28</v>
      </c>
      <c r="B106" t="s">
        <v>17</v>
      </c>
      <c r="C106" s="244">
        <v>43106</v>
      </c>
      <c r="D106" s="245">
        <v>1704</v>
      </c>
      <c r="E106" t="s">
        <v>125</v>
      </c>
      <c r="F106" s="247">
        <v>16205.117</v>
      </c>
    </row>
    <row r="107" spans="1:6 16378:16378" x14ac:dyDescent="0.25">
      <c r="A107" t="s">
        <v>28</v>
      </c>
      <c r="B107" t="s">
        <v>15</v>
      </c>
      <c r="C107" s="244">
        <v>43106</v>
      </c>
      <c r="D107" s="245">
        <v>1705</v>
      </c>
      <c r="E107" t="s">
        <v>129</v>
      </c>
      <c r="F107" s="247">
        <v>8552.8820000000014</v>
      </c>
    </row>
    <row r="108" spans="1:6 16378:16378" x14ac:dyDescent="0.25">
      <c r="A108" t="s">
        <v>28</v>
      </c>
      <c r="B108" t="s">
        <v>15</v>
      </c>
      <c r="C108" s="244">
        <v>43106</v>
      </c>
      <c r="D108" s="245">
        <v>1706</v>
      </c>
      <c r="E108" t="s">
        <v>128</v>
      </c>
      <c r="F108" s="247">
        <v>14238.001999999999</v>
      </c>
    </row>
    <row r="109" spans="1:6 16378:16378" x14ac:dyDescent="0.25">
      <c r="A109" t="s">
        <v>28</v>
      </c>
      <c r="B109" t="s">
        <v>15</v>
      </c>
      <c r="C109" s="244">
        <v>43106</v>
      </c>
      <c r="D109" s="245">
        <v>1707</v>
      </c>
      <c r="E109" t="s">
        <v>121</v>
      </c>
      <c r="F109" s="247">
        <v>1663.201</v>
      </c>
    </row>
    <row r="110" spans="1:6 16378:16378" x14ac:dyDescent="0.25">
      <c r="A110" t="s">
        <v>28</v>
      </c>
      <c r="B110" t="s">
        <v>15</v>
      </c>
      <c r="C110" s="244">
        <v>43106</v>
      </c>
      <c r="D110" s="245">
        <v>1708</v>
      </c>
      <c r="E110" t="s">
        <v>130</v>
      </c>
      <c r="F110" s="247">
        <v>13436.64</v>
      </c>
    </row>
    <row r="111" spans="1:6 16378:16378" x14ac:dyDescent="0.25">
      <c r="A111" t="s">
        <v>28</v>
      </c>
      <c r="B111" t="s">
        <v>17</v>
      </c>
      <c r="C111" s="244">
        <v>43106</v>
      </c>
      <c r="D111" s="245">
        <v>1709</v>
      </c>
      <c r="E111" t="s">
        <v>130</v>
      </c>
      <c r="F111" s="247">
        <v>15282.043</v>
      </c>
    </row>
    <row r="112" spans="1:6 16378:16378" x14ac:dyDescent="0.25">
      <c r="A112" t="s">
        <v>28</v>
      </c>
      <c r="B112" t="s">
        <v>15</v>
      </c>
      <c r="C112" s="244">
        <v>43108</v>
      </c>
      <c r="D112" s="245">
        <v>1710</v>
      </c>
      <c r="E112" t="s">
        <v>126</v>
      </c>
      <c r="F112" s="247">
        <v>8053.9229999999998</v>
      </c>
    </row>
    <row r="113" spans="1:6" x14ac:dyDescent="0.25">
      <c r="A113" t="s">
        <v>28</v>
      </c>
      <c r="B113" t="s">
        <v>17</v>
      </c>
      <c r="C113" s="244">
        <v>43108</v>
      </c>
      <c r="D113" s="245">
        <v>1711</v>
      </c>
      <c r="E113" t="s">
        <v>126</v>
      </c>
      <c r="F113" s="247">
        <v>12153.830999999998</v>
      </c>
    </row>
    <row r="114" spans="1:6" x14ac:dyDescent="0.25">
      <c r="A114" t="s">
        <v>28</v>
      </c>
      <c r="B114" t="s">
        <v>15</v>
      </c>
      <c r="C114" s="244">
        <v>43108</v>
      </c>
      <c r="D114" s="245">
        <v>1712</v>
      </c>
      <c r="E114" t="s">
        <v>124</v>
      </c>
      <c r="F114" s="247">
        <v>18542.325000000001</v>
      </c>
    </row>
    <row r="115" spans="1:6" x14ac:dyDescent="0.25">
      <c r="A115" t="s">
        <v>28</v>
      </c>
      <c r="B115" t="s">
        <v>15</v>
      </c>
      <c r="C115" s="244">
        <v>43108</v>
      </c>
      <c r="D115" s="245">
        <v>1713</v>
      </c>
      <c r="E115" t="s">
        <v>125</v>
      </c>
      <c r="F115" s="247">
        <v>8033.76</v>
      </c>
    </row>
    <row r="116" spans="1:6" x14ac:dyDescent="0.25">
      <c r="A116" t="s">
        <v>28</v>
      </c>
      <c r="B116" t="s">
        <v>15</v>
      </c>
      <c r="C116" s="244">
        <v>43109</v>
      </c>
      <c r="D116" s="245">
        <v>1714</v>
      </c>
      <c r="E116" t="s">
        <v>132</v>
      </c>
      <c r="F116" s="247">
        <v>6436.0820000000003</v>
      </c>
    </row>
    <row r="117" spans="1:6" x14ac:dyDescent="0.25">
      <c r="A117" t="s">
        <v>28</v>
      </c>
      <c r="B117" t="s">
        <v>15</v>
      </c>
      <c r="C117" s="244">
        <v>43109</v>
      </c>
      <c r="D117" s="245">
        <v>1715</v>
      </c>
      <c r="E117" t="s">
        <v>128</v>
      </c>
      <c r="F117" s="247">
        <v>6491.5219999999999</v>
      </c>
    </row>
    <row r="118" spans="1:6" x14ac:dyDescent="0.25">
      <c r="A118" t="s">
        <v>28</v>
      </c>
      <c r="B118" t="s">
        <v>16</v>
      </c>
      <c r="C118" s="244">
        <v>43109</v>
      </c>
      <c r="D118" s="245">
        <v>1716</v>
      </c>
      <c r="E118" t="s">
        <v>128</v>
      </c>
      <c r="F118" s="247">
        <v>11225.46</v>
      </c>
    </row>
    <row r="119" spans="1:6" x14ac:dyDescent="0.25">
      <c r="A119" t="s">
        <v>28</v>
      </c>
      <c r="B119" t="s">
        <v>15</v>
      </c>
      <c r="C119" s="244">
        <v>43109</v>
      </c>
      <c r="D119" s="245">
        <v>1717</v>
      </c>
      <c r="E119" t="s">
        <v>130</v>
      </c>
      <c r="F119" s="247">
        <v>3013.9209999999998</v>
      </c>
    </row>
    <row r="120" spans="1:6" x14ac:dyDescent="0.25">
      <c r="A120" t="s">
        <v>28</v>
      </c>
      <c r="B120" t="s">
        <v>17</v>
      </c>
      <c r="C120" s="244">
        <v>43109</v>
      </c>
      <c r="D120" s="245">
        <v>1718</v>
      </c>
      <c r="E120" t="s">
        <v>123</v>
      </c>
      <c r="F120" s="247">
        <v>13128.195</v>
      </c>
    </row>
    <row r="121" spans="1:6" x14ac:dyDescent="0.25">
      <c r="A121" t="s">
        <v>28</v>
      </c>
      <c r="B121" t="s">
        <v>16</v>
      </c>
      <c r="C121" s="244">
        <v>43109</v>
      </c>
      <c r="D121" s="245">
        <v>1718</v>
      </c>
      <c r="E121" t="s">
        <v>123</v>
      </c>
      <c r="F121" s="247">
        <v>2138.1819999999998</v>
      </c>
    </row>
    <row r="122" spans="1:6" x14ac:dyDescent="0.25">
      <c r="A122" t="s">
        <v>28</v>
      </c>
      <c r="B122" t="s">
        <v>15</v>
      </c>
      <c r="C122" s="244">
        <v>43109</v>
      </c>
      <c r="D122" s="245">
        <v>1719</v>
      </c>
      <c r="E122" t="s">
        <v>123</v>
      </c>
      <c r="F122" s="247">
        <v>11586.960999999999</v>
      </c>
    </row>
    <row r="123" spans="1:6" x14ac:dyDescent="0.25">
      <c r="A123" t="s">
        <v>28</v>
      </c>
      <c r="B123" t="s">
        <v>17</v>
      </c>
      <c r="C123" s="244">
        <v>43109</v>
      </c>
      <c r="D123" s="245">
        <v>1720</v>
      </c>
      <c r="E123" t="s">
        <v>122</v>
      </c>
      <c r="F123" s="247">
        <v>6358.9709999999995</v>
      </c>
    </row>
    <row r="124" spans="1:6" x14ac:dyDescent="0.25">
      <c r="A124" t="s">
        <v>28</v>
      </c>
      <c r="B124" t="s">
        <v>16</v>
      </c>
      <c r="C124" s="244">
        <v>43111</v>
      </c>
      <c r="D124" s="245">
        <v>1721</v>
      </c>
      <c r="E124" t="s">
        <v>134</v>
      </c>
      <c r="F124" s="247">
        <v>2138.1799999999998</v>
      </c>
    </row>
    <row r="125" spans="1:6" x14ac:dyDescent="0.25">
      <c r="A125" t="s">
        <v>28</v>
      </c>
      <c r="B125" t="s">
        <v>16</v>
      </c>
      <c r="C125" s="244">
        <v>43111</v>
      </c>
      <c r="D125" s="245">
        <v>1722</v>
      </c>
      <c r="E125" t="s">
        <v>130</v>
      </c>
      <c r="F125" s="247">
        <v>3207.2730000000001</v>
      </c>
    </row>
    <row r="126" spans="1:6" x14ac:dyDescent="0.25">
      <c r="A126" t="s">
        <v>28</v>
      </c>
      <c r="B126" t="s">
        <v>15</v>
      </c>
      <c r="C126" s="244">
        <v>43113</v>
      </c>
      <c r="D126" s="245">
        <v>1723</v>
      </c>
      <c r="E126" t="s">
        <v>130</v>
      </c>
      <c r="F126" s="247">
        <v>12722.73</v>
      </c>
    </row>
    <row r="127" spans="1:6" x14ac:dyDescent="0.25">
      <c r="A127" t="s">
        <v>28</v>
      </c>
      <c r="B127" t="s">
        <v>15</v>
      </c>
      <c r="C127" s="244">
        <v>43113</v>
      </c>
      <c r="D127" s="245">
        <v>1724</v>
      </c>
      <c r="E127" t="s">
        <v>128</v>
      </c>
      <c r="F127" s="247">
        <v>6723.36</v>
      </c>
    </row>
    <row r="128" spans="1:6" x14ac:dyDescent="0.25">
      <c r="A128" t="s">
        <v>28</v>
      </c>
      <c r="B128" t="s">
        <v>15</v>
      </c>
      <c r="C128" s="244">
        <v>43118</v>
      </c>
      <c r="D128" s="245">
        <v>1725</v>
      </c>
      <c r="E128" t="s">
        <v>129</v>
      </c>
      <c r="F128" s="247">
        <v>10488.24</v>
      </c>
    </row>
    <row r="129" spans="1:6" x14ac:dyDescent="0.25">
      <c r="A129" t="s">
        <v>28</v>
      </c>
      <c r="B129" t="s">
        <v>18</v>
      </c>
      <c r="C129" s="244">
        <v>43118</v>
      </c>
      <c r="D129" s="245">
        <v>1726</v>
      </c>
      <c r="E129" t="s">
        <v>129</v>
      </c>
      <c r="F129" s="247">
        <v>2950.23</v>
      </c>
    </row>
    <row r="130" spans="1:6" x14ac:dyDescent="0.25">
      <c r="A130" t="s">
        <v>28</v>
      </c>
      <c r="B130" t="s">
        <v>17</v>
      </c>
      <c r="C130" s="244">
        <v>43118</v>
      </c>
      <c r="D130" s="245">
        <v>1726</v>
      </c>
      <c r="E130" t="s">
        <v>129</v>
      </c>
      <c r="F130" s="247">
        <v>3282.05</v>
      </c>
    </row>
    <row r="131" spans="1:6" x14ac:dyDescent="0.25">
      <c r="A131" t="s">
        <v>28</v>
      </c>
      <c r="B131" t="s">
        <v>15</v>
      </c>
      <c r="C131" s="244">
        <v>43118</v>
      </c>
      <c r="D131" s="245">
        <v>1727</v>
      </c>
      <c r="E131" t="s">
        <v>125</v>
      </c>
      <c r="F131" s="247">
        <v>12865.61</v>
      </c>
    </row>
    <row r="132" spans="1:6" x14ac:dyDescent="0.25">
      <c r="A132" t="s">
        <v>28</v>
      </c>
      <c r="B132" t="s">
        <v>15</v>
      </c>
      <c r="C132" s="244">
        <v>43120</v>
      </c>
      <c r="D132" s="245">
        <v>1728</v>
      </c>
      <c r="E132" t="s">
        <v>132</v>
      </c>
      <c r="F132" s="247">
        <v>5881.68</v>
      </c>
    </row>
    <row r="133" spans="1:6" x14ac:dyDescent="0.25">
      <c r="A133" t="s">
        <v>28</v>
      </c>
      <c r="B133" t="s">
        <v>17</v>
      </c>
      <c r="C133" s="244">
        <v>43120</v>
      </c>
      <c r="D133" s="245">
        <v>1729</v>
      </c>
      <c r="E133" t="s">
        <v>132</v>
      </c>
      <c r="F133" s="247">
        <v>9128.1860000000015</v>
      </c>
    </row>
    <row r="134" spans="1:6" x14ac:dyDescent="0.25">
      <c r="A134" t="s">
        <v>28</v>
      </c>
      <c r="B134" t="s">
        <v>16</v>
      </c>
      <c r="C134" s="244">
        <v>43120</v>
      </c>
      <c r="D134" s="245">
        <v>1729</v>
      </c>
      <c r="E134" t="s">
        <v>132</v>
      </c>
      <c r="F134" s="247">
        <v>3207.2699999999995</v>
      </c>
    </row>
    <row r="135" spans="1:6" x14ac:dyDescent="0.25">
      <c r="A135" t="s">
        <v>28</v>
      </c>
      <c r="B135" t="s">
        <v>190</v>
      </c>
      <c r="C135" s="244">
        <v>43120</v>
      </c>
      <c r="D135" s="245">
        <v>1729</v>
      </c>
      <c r="E135" t="s">
        <v>132</v>
      </c>
      <c r="F135" s="247">
        <v>1027.5900000000001</v>
      </c>
    </row>
    <row r="136" spans="1:6" x14ac:dyDescent="0.25">
      <c r="A136" t="s">
        <v>28</v>
      </c>
      <c r="B136" t="s">
        <v>15</v>
      </c>
      <c r="C136" s="244">
        <v>43120</v>
      </c>
      <c r="D136" s="245">
        <v>1730</v>
      </c>
      <c r="E136" t="s">
        <v>128</v>
      </c>
      <c r="F136" s="247">
        <v>13996.08</v>
      </c>
    </row>
    <row r="137" spans="1:6" x14ac:dyDescent="0.25">
      <c r="A137" t="s">
        <v>28</v>
      </c>
      <c r="B137" t="s">
        <v>15</v>
      </c>
      <c r="C137" s="244">
        <v>43122</v>
      </c>
      <c r="D137" s="245">
        <v>1731</v>
      </c>
      <c r="E137" t="s">
        <v>130</v>
      </c>
      <c r="F137" s="247">
        <v>14762.157999999999</v>
      </c>
    </row>
    <row r="138" spans="1:6" x14ac:dyDescent="0.25">
      <c r="A138" t="s">
        <v>28</v>
      </c>
      <c r="B138" t="s">
        <v>17</v>
      </c>
      <c r="C138" s="244">
        <v>43123</v>
      </c>
      <c r="D138" s="245">
        <v>1732</v>
      </c>
      <c r="E138" t="s">
        <v>128</v>
      </c>
      <c r="F138" s="247">
        <v>17846.138000000003</v>
      </c>
    </row>
    <row r="139" spans="1:6" x14ac:dyDescent="0.25">
      <c r="A139" t="s">
        <v>28</v>
      </c>
      <c r="B139" t="s">
        <v>16</v>
      </c>
      <c r="C139" s="244">
        <v>43123</v>
      </c>
      <c r="D139" s="245">
        <v>1732</v>
      </c>
      <c r="E139" t="s">
        <v>128</v>
      </c>
      <c r="F139" s="247">
        <v>6414.5420000000004</v>
      </c>
    </row>
    <row r="140" spans="1:6" x14ac:dyDescent="0.25">
      <c r="A140" t="s">
        <v>28</v>
      </c>
      <c r="B140" t="s">
        <v>17</v>
      </c>
      <c r="C140" s="244">
        <v>43124</v>
      </c>
      <c r="D140" s="245">
        <v>1733</v>
      </c>
      <c r="E140" t="s">
        <v>131</v>
      </c>
      <c r="F140" s="247">
        <v>11128.197</v>
      </c>
    </row>
    <row r="141" spans="1:6" x14ac:dyDescent="0.25">
      <c r="A141" t="s">
        <v>28</v>
      </c>
      <c r="B141" t="s">
        <v>16</v>
      </c>
      <c r="C141" s="244">
        <v>43124</v>
      </c>
      <c r="D141" s="245">
        <v>1734</v>
      </c>
      <c r="E141" t="s">
        <v>129</v>
      </c>
      <c r="F141" s="247">
        <v>5345.4560000000001</v>
      </c>
    </row>
    <row r="142" spans="1:6" x14ac:dyDescent="0.25">
      <c r="A142" t="s">
        <v>28</v>
      </c>
      <c r="B142" t="s">
        <v>15</v>
      </c>
      <c r="C142" s="244">
        <v>43124</v>
      </c>
      <c r="D142" s="245">
        <v>1735</v>
      </c>
      <c r="E142" t="s">
        <v>129</v>
      </c>
      <c r="F142" s="247">
        <v>7035.8410000000003</v>
      </c>
    </row>
    <row r="143" spans="1:6" x14ac:dyDescent="0.25">
      <c r="A143" t="s">
        <v>28</v>
      </c>
      <c r="B143" t="s">
        <v>16</v>
      </c>
      <c r="C143" s="244">
        <v>43124</v>
      </c>
      <c r="D143" s="245">
        <v>1736</v>
      </c>
      <c r="E143" t="s">
        <v>123</v>
      </c>
      <c r="F143" s="247">
        <v>9087.2740000000013</v>
      </c>
    </row>
    <row r="144" spans="1:6" x14ac:dyDescent="0.25">
      <c r="A144" t="s">
        <v>28</v>
      </c>
      <c r="B144" t="s">
        <v>18</v>
      </c>
      <c r="C144" s="244">
        <v>43124</v>
      </c>
      <c r="D144" s="245">
        <v>1736</v>
      </c>
      <c r="E144" t="s">
        <v>123</v>
      </c>
      <c r="F144" s="247">
        <v>1083.9650000000001</v>
      </c>
    </row>
    <row r="145" spans="1:6" x14ac:dyDescent="0.25">
      <c r="A145" t="s">
        <v>28</v>
      </c>
      <c r="B145" t="s">
        <v>16</v>
      </c>
      <c r="C145" s="244">
        <v>43124</v>
      </c>
      <c r="D145" s="245">
        <v>1737</v>
      </c>
      <c r="E145" t="s">
        <v>124</v>
      </c>
      <c r="F145" s="247">
        <v>9087.2750000000015</v>
      </c>
    </row>
    <row r="146" spans="1:6" x14ac:dyDescent="0.25">
      <c r="A146" t="s">
        <v>28</v>
      </c>
      <c r="B146" t="s">
        <v>18</v>
      </c>
      <c r="C146" s="244">
        <v>43124</v>
      </c>
      <c r="D146" s="245">
        <v>1737</v>
      </c>
      <c r="E146" t="s">
        <v>124</v>
      </c>
      <c r="F146" s="247">
        <v>1012.384</v>
      </c>
    </row>
    <row r="147" spans="1:6" x14ac:dyDescent="0.25">
      <c r="A147" t="s">
        <v>28</v>
      </c>
      <c r="B147" t="s">
        <v>15</v>
      </c>
      <c r="C147" s="244">
        <v>43124</v>
      </c>
      <c r="D147" s="245">
        <v>1738</v>
      </c>
      <c r="E147" t="s">
        <v>126</v>
      </c>
      <c r="F147" s="247">
        <v>8069.0410000000002</v>
      </c>
    </row>
    <row r="148" spans="1:6" x14ac:dyDescent="0.25">
      <c r="A148" t="s">
        <v>28</v>
      </c>
      <c r="B148" t="s">
        <v>17</v>
      </c>
      <c r="C148" s="244">
        <v>43124</v>
      </c>
      <c r="D148" s="245">
        <v>1739</v>
      </c>
      <c r="E148" t="s">
        <v>124</v>
      </c>
      <c r="F148" s="247">
        <v>4102.5479999999998</v>
      </c>
    </row>
    <row r="149" spans="1:6" x14ac:dyDescent="0.25">
      <c r="A149" t="s">
        <v>28</v>
      </c>
      <c r="B149" t="s">
        <v>15</v>
      </c>
      <c r="C149" s="244">
        <v>43125</v>
      </c>
      <c r="D149" s="245">
        <v>1740</v>
      </c>
      <c r="E149" t="s">
        <v>122</v>
      </c>
      <c r="F149" s="247">
        <v>1058.4000000000001</v>
      </c>
    </row>
    <row r="150" spans="1:6" x14ac:dyDescent="0.25">
      <c r="A150" t="s">
        <v>28</v>
      </c>
      <c r="B150" t="s">
        <v>17</v>
      </c>
      <c r="C150" s="244">
        <v>43125</v>
      </c>
      <c r="D150" s="245">
        <v>1741</v>
      </c>
      <c r="E150" t="s">
        <v>122</v>
      </c>
      <c r="F150" s="247">
        <v>5794.8720000000003</v>
      </c>
    </row>
    <row r="151" spans="1:6" x14ac:dyDescent="0.25">
      <c r="A151" t="s">
        <v>28</v>
      </c>
      <c r="B151" t="s">
        <v>18</v>
      </c>
      <c r="C151" s="244">
        <v>43125</v>
      </c>
      <c r="D151" s="245">
        <v>1741</v>
      </c>
      <c r="E151" t="s">
        <v>122</v>
      </c>
      <c r="F151" s="247">
        <v>392.00099999999998</v>
      </c>
    </row>
    <row r="152" spans="1:6" x14ac:dyDescent="0.25">
      <c r="A152" t="s">
        <v>28</v>
      </c>
      <c r="B152" t="s">
        <v>17</v>
      </c>
      <c r="C152" s="244">
        <v>43125</v>
      </c>
      <c r="D152" s="245">
        <v>1742</v>
      </c>
      <c r="E152" t="s">
        <v>121</v>
      </c>
      <c r="F152" s="247">
        <v>8307.6869999999999</v>
      </c>
    </row>
    <row r="153" spans="1:6" x14ac:dyDescent="0.25">
      <c r="A153" t="s">
        <v>28</v>
      </c>
      <c r="B153" t="s">
        <v>15</v>
      </c>
      <c r="C153" s="244">
        <v>43125</v>
      </c>
      <c r="D153" s="245">
        <v>1743</v>
      </c>
      <c r="E153" t="s">
        <v>125</v>
      </c>
      <c r="F153" s="247">
        <v>1921.0810000000001</v>
      </c>
    </row>
    <row r="154" spans="1:6" x14ac:dyDescent="0.25">
      <c r="A154" t="s">
        <v>32</v>
      </c>
      <c r="B154" t="s">
        <v>17</v>
      </c>
      <c r="C154" s="244">
        <v>43125</v>
      </c>
      <c r="D154" s="245">
        <v>1744</v>
      </c>
      <c r="E154" t="s">
        <v>138</v>
      </c>
      <c r="F154" s="247">
        <v>834.78300000000002</v>
      </c>
    </row>
    <row r="155" spans="1:6" x14ac:dyDescent="0.25">
      <c r="A155" t="s">
        <v>28</v>
      </c>
      <c r="B155" t="s">
        <v>15</v>
      </c>
      <c r="C155" s="244">
        <v>43127</v>
      </c>
      <c r="D155" s="245">
        <v>1745</v>
      </c>
      <c r="E155" t="s">
        <v>128</v>
      </c>
      <c r="F155" s="247">
        <v>7691.0349999999999</v>
      </c>
    </row>
    <row r="156" spans="1:6" x14ac:dyDescent="0.25">
      <c r="A156" t="s">
        <v>28</v>
      </c>
      <c r="B156" t="s">
        <v>15</v>
      </c>
      <c r="C156" s="244">
        <v>43129</v>
      </c>
      <c r="D156" s="245">
        <v>1747</v>
      </c>
      <c r="E156" t="s">
        <v>130</v>
      </c>
      <c r="F156" s="247">
        <v>14856.411</v>
      </c>
    </row>
    <row r="157" spans="1:6" x14ac:dyDescent="0.25">
      <c r="A157" t="s">
        <v>28</v>
      </c>
      <c r="B157" t="s">
        <v>17</v>
      </c>
      <c r="C157" s="244">
        <v>43129</v>
      </c>
      <c r="D157" s="245">
        <v>1748</v>
      </c>
      <c r="E157" t="s">
        <v>130</v>
      </c>
      <c r="F157" s="247">
        <v>15589.732</v>
      </c>
    </row>
    <row r="158" spans="1:6" x14ac:dyDescent="0.25">
      <c r="A158" t="s">
        <v>28</v>
      </c>
      <c r="B158" t="s">
        <v>15</v>
      </c>
      <c r="C158" s="244">
        <v>43131</v>
      </c>
      <c r="D158" s="245">
        <v>1749</v>
      </c>
      <c r="E158" t="s">
        <v>132</v>
      </c>
      <c r="F158" s="247">
        <v>12863.931</v>
      </c>
    </row>
    <row r="159" spans="1:6" x14ac:dyDescent="0.25">
      <c r="A159" t="s">
        <v>32</v>
      </c>
      <c r="B159" t="s">
        <v>17</v>
      </c>
      <c r="C159" s="244">
        <v>43132</v>
      </c>
      <c r="D159" s="245">
        <v>1750</v>
      </c>
      <c r="E159" t="s">
        <v>147</v>
      </c>
      <c r="F159" s="247">
        <v>8139.1310000000012</v>
      </c>
    </row>
    <row r="160" spans="1:6" x14ac:dyDescent="0.25">
      <c r="A160" t="s">
        <v>28</v>
      </c>
      <c r="B160" t="s">
        <v>15</v>
      </c>
      <c r="C160" s="244">
        <v>43132</v>
      </c>
      <c r="D160" s="245">
        <v>1751</v>
      </c>
      <c r="E160" t="s">
        <v>128</v>
      </c>
      <c r="F160" s="247">
        <v>8793.2829999999994</v>
      </c>
    </row>
    <row r="161" spans="1:6" x14ac:dyDescent="0.25">
      <c r="A161" t="s">
        <v>28</v>
      </c>
      <c r="B161" t="s">
        <v>58</v>
      </c>
      <c r="C161" s="244">
        <v>43132</v>
      </c>
      <c r="D161" s="245">
        <v>1752</v>
      </c>
      <c r="E161" t="s">
        <v>128</v>
      </c>
      <c r="F161" s="247">
        <v>993.10299999999995</v>
      </c>
    </row>
    <row r="162" spans="1:6" x14ac:dyDescent="0.25">
      <c r="A162" t="s">
        <v>28</v>
      </c>
      <c r="B162" t="s">
        <v>17</v>
      </c>
      <c r="C162" s="244">
        <v>43132</v>
      </c>
      <c r="D162" s="245">
        <v>1753</v>
      </c>
      <c r="E162" t="s">
        <v>133</v>
      </c>
      <c r="F162" s="247">
        <v>2461.5340000000001</v>
      </c>
    </row>
    <row r="163" spans="1:6" x14ac:dyDescent="0.25">
      <c r="A163" t="s">
        <v>32</v>
      </c>
      <c r="B163" t="s">
        <v>16</v>
      </c>
      <c r="C163" s="244">
        <v>43134</v>
      </c>
      <c r="D163" s="245">
        <v>1754</v>
      </c>
      <c r="E163" t="s">
        <v>137</v>
      </c>
      <c r="F163" s="247">
        <v>3339.13</v>
      </c>
    </row>
    <row r="164" spans="1:6" x14ac:dyDescent="0.25">
      <c r="A164" t="s">
        <v>28</v>
      </c>
      <c r="B164" t="s">
        <v>15</v>
      </c>
      <c r="C164" s="244">
        <v>43134</v>
      </c>
      <c r="D164" s="245">
        <v>1755</v>
      </c>
      <c r="E164" t="s">
        <v>128</v>
      </c>
      <c r="F164" s="247">
        <v>20956.313999999998</v>
      </c>
    </row>
    <row r="165" spans="1:6" x14ac:dyDescent="0.25">
      <c r="A165" t="s">
        <v>28</v>
      </c>
      <c r="B165" t="s">
        <v>16</v>
      </c>
      <c r="C165" s="244">
        <v>43135</v>
      </c>
      <c r="D165" s="245">
        <v>1756</v>
      </c>
      <c r="E165" t="s">
        <v>130</v>
      </c>
      <c r="F165" s="247">
        <v>10049.457</v>
      </c>
    </row>
    <row r="166" spans="1:6" x14ac:dyDescent="0.25">
      <c r="A166" t="s">
        <v>28</v>
      </c>
      <c r="B166" t="s">
        <v>58</v>
      </c>
      <c r="C166" s="244">
        <v>43134</v>
      </c>
      <c r="D166" s="245">
        <v>1757</v>
      </c>
      <c r="E166" t="s">
        <v>128</v>
      </c>
      <c r="F166" s="247">
        <v>2482.7579999999998</v>
      </c>
    </row>
    <row r="167" spans="1:6" x14ac:dyDescent="0.25">
      <c r="A167" t="s">
        <v>28</v>
      </c>
      <c r="B167" t="s">
        <v>15</v>
      </c>
      <c r="C167" s="244">
        <v>43136</v>
      </c>
      <c r="D167" s="245">
        <v>1758</v>
      </c>
      <c r="E167" t="s">
        <v>130</v>
      </c>
      <c r="F167" s="247">
        <v>14918.403000000002</v>
      </c>
    </row>
    <row r="168" spans="1:6" x14ac:dyDescent="0.25">
      <c r="A168" t="s">
        <v>28</v>
      </c>
      <c r="B168" t="s">
        <v>16</v>
      </c>
      <c r="C168" s="244">
        <v>43136</v>
      </c>
      <c r="D168" s="245">
        <v>1759</v>
      </c>
      <c r="E168" t="s">
        <v>131</v>
      </c>
      <c r="F168" s="247">
        <v>5345.4560000000001</v>
      </c>
    </row>
    <row r="169" spans="1:6" x14ac:dyDescent="0.25">
      <c r="A169" t="s">
        <v>28</v>
      </c>
      <c r="B169" t="s">
        <v>15</v>
      </c>
      <c r="C169" s="244">
        <v>43136</v>
      </c>
      <c r="D169" s="245">
        <v>1760</v>
      </c>
      <c r="E169" t="s">
        <v>124</v>
      </c>
      <c r="F169" s="247">
        <v>19226.760999999995</v>
      </c>
    </row>
    <row r="170" spans="1:6" x14ac:dyDescent="0.25">
      <c r="A170" t="s">
        <v>28</v>
      </c>
      <c r="B170" t="s">
        <v>17</v>
      </c>
      <c r="C170" s="244">
        <v>43136</v>
      </c>
      <c r="D170" s="245">
        <v>1761</v>
      </c>
      <c r="E170" t="s">
        <v>124</v>
      </c>
      <c r="F170" s="247">
        <v>7179.4989999999998</v>
      </c>
    </row>
    <row r="171" spans="1:6" x14ac:dyDescent="0.25">
      <c r="A171" t="s">
        <v>28</v>
      </c>
      <c r="B171" t="s">
        <v>16</v>
      </c>
      <c r="C171" s="244">
        <v>43136</v>
      </c>
      <c r="D171" s="245">
        <v>1762</v>
      </c>
      <c r="E171" t="s">
        <v>125</v>
      </c>
      <c r="F171" s="247">
        <v>10690.914000000001</v>
      </c>
    </row>
    <row r="172" spans="1:6" x14ac:dyDescent="0.25">
      <c r="A172" t="s">
        <v>28</v>
      </c>
      <c r="B172" t="s">
        <v>16</v>
      </c>
      <c r="C172" s="244">
        <v>43136</v>
      </c>
      <c r="D172" s="245">
        <v>1763</v>
      </c>
      <c r="E172" t="s">
        <v>126</v>
      </c>
      <c r="F172" s="247">
        <v>5345.4560000000001</v>
      </c>
    </row>
    <row r="173" spans="1:6" x14ac:dyDescent="0.25">
      <c r="A173" t="s">
        <v>28</v>
      </c>
      <c r="B173" t="s">
        <v>16</v>
      </c>
      <c r="C173" s="244">
        <v>43136</v>
      </c>
      <c r="D173" s="245">
        <v>1764</v>
      </c>
      <c r="E173" t="s">
        <v>122</v>
      </c>
      <c r="F173" s="247">
        <v>4276.366</v>
      </c>
    </row>
    <row r="174" spans="1:6" x14ac:dyDescent="0.25">
      <c r="A174" t="s">
        <v>28</v>
      </c>
      <c r="B174" t="s">
        <v>15</v>
      </c>
      <c r="C174" s="244">
        <v>43137</v>
      </c>
      <c r="D174" s="245">
        <v>1765</v>
      </c>
      <c r="E174" t="s">
        <v>129</v>
      </c>
      <c r="F174" s="247">
        <v>23432.637999999999</v>
      </c>
    </row>
    <row r="175" spans="1:6" x14ac:dyDescent="0.25">
      <c r="A175" t="s">
        <v>28</v>
      </c>
      <c r="B175" t="s">
        <v>15</v>
      </c>
      <c r="C175" s="244">
        <v>43137</v>
      </c>
      <c r="D175" s="245">
        <v>1766</v>
      </c>
      <c r="E175" t="s">
        <v>123</v>
      </c>
      <c r="F175" s="247">
        <v>9411.3610000000008</v>
      </c>
    </row>
    <row r="176" spans="1:6" x14ac:dyDescent="0.25">
      <c r="A176" t="s">
        <v>28</v>
      </c>
      <c r="B176" t="s">
        <v>17</v>
      </c>
      <c r="C176" s="244">
        <v>43137</v>
      </c>
      <c r="D176" s="245">
        <v>1767</v>
      </c>
      <c r="E176" t="s">
        <v>123</v>
      </c>
      <c r="F176" s="247">
        <v>12512.807000000001</v>
      </c>
    </row>
    <row r="177" spans="1:6" x14ac:dyDescent="0.25">
      <c r="A177" t="s">
        <v>28</v>
      </c>
      <c r="B177" t="s">
        <v>15</v>
      </c>
      <c r="C177" s="244">
        <v>43137</v>
      </c>
      <c r="D177" s="245">
        <v>1768</v>
      </c>
      <c r="E177" t="s">
        <v>125</v>
      </c>
      <c r="F177" s="247">
        <v>19703.870999999999</v>
      </c>
    </row>
    <row r="178" spans="1:6" x14ac:dyDescent="0.25">
      <c r="A178" t="s">
        <v>28</v>
      </c>
      <c r="B178" t="s">
        <v>18</v>
      </c>
      <c r="C178" s="244">
        <v>43137</v>
      </c>
      <c r="D178" s="245">
        <v>1769</v>
      </c>
      <c r="E178" t="s">
        <v>125</v>
      </c>
      <c r="F178" s="247">
        <v>1227.135</v>
      </c>
    </row>
    <row r="179" spans="1:6" x14ac:dyDescent="0.25">
      <c r="A179" t="s">
        <v>28</v>
      </c>
      <c r="B179" t="s">
        <v>58</v>
      </c>
      <c r="C179" s="244">
        <v>43137</v>
      </c>
      <c r="D179" s="245">
        <v>1769</v>
      </c>
      <c r="E179" t="s">
        <v>125</v>
      </c>
      <c r="F179" s="247">
        <v>3062.069</v>
      </c>
    </row>
    <row r="180" spans="1:6" x14ac:dyDescent="0.25">
      <c r="A180" t="s">
        <v>28</v>
      </c>
      <c r="B180" t="s">
        <v>15</v>
      </c>
      <c r="C180" s="244">
        <v>43139</v>
      </c>
      <c r="D180" s="245">
        <v>1770</v>
      </c>
      <c r="E180" t="s">
        <v>128</v>
      </c>
      <c r="F180" s="247">
        <v>9066.9609999999993</v>
      </c>
    </row>
    <row r="181" spans="1:6" x14ac:dyDescent="0.25">
      <c r="A181" t="s">
        <v>28</v>
      </c>
      <c r="B181" t="s">
        <v>17</v>
      </c>
      <c r="C181" s="244">
        <v>43139</v>
      </c>
      <c r="D181" s="245">
        <v>1771</v>
      </c>
      <c r="E181" t="s">
        <v>133</v>
      </c>
      <c r="F181" s="247">
        <v>9128.2039999999997</v>
      </c>
    </row>
    <row r="182" spans="1:6" x14ac:dyDescent="0.25">
      <c r="A182" t="s">
        <v>28</v>
      </c>
      <c r="B182" t="s">
        <v>16</v>
      </c>
      <c r="C182" s="244">
        <v>43139</v>
      </c>
      <c r="D182" s="245">
        <v>1771</v>
      </c>
      <c r="E182" t="s">
        <v>133</v>
      </c>
      <c r="F182" s="247">
        <v>2138.1799999999998</v>
      </c>
    </row>
    <row r="183" spans="1:6" x14ac:dyDescent="0.25">
      <c r="A183" t="s">
        <v>28</v>
      </c>
      <c r="B183" t="s">
        <v>16</v>
      </c>
      <c r="C183" s="244">
        <v>43139</v>
      </c>
      <c r="D183" s="245">
        <v>1772</v>
      </c>
      <c r="E183" t="s">
        <v>134</v>
      </c>
      <c r="F183" s="247">
        <v>4276.366</v>
      </c>
    </row>
    <row r="184" spans="1:6" x14ac:dyDescent="0.25">
      <c r="A184" t="s">
        <v>28</v>
      </c>
      <c r="B184" t="s">
        <v>15</v>
      </c>
      <c r="C184" s="244">
        <v>43139</v>
      </c>
      <c r="D184" s="245">
        <v>1773</v>
      </c>
      <c r="E184" t="s">
        <v>128</v>
      </c>
      <c r="F184" s="247">
        <v>1260</v>
      </c>
    </row>
    <row r="185" spans="1:6" x14ac:dyDescent="0.25">
      <c r="A185" t="s">
        <v>28</v>
      </c>
      <c r="B185" t="s">
        <v>15</v>
      </c>
      <c r="C185" s="244">
        <v>43139</v>
      </c>
      <c r="D185" s="245">
        <v>1774</v>
      </c>
      <c r="E185" t="s">
        <v>133</v>
      </c>
      <c r="F185" s="247">
        <v>1915.2</v>
      </c>
    </row>
    <row r="186" spans="1:6" x14ac:dyDescent="0.25">
      <c r="A186" t="s">
        <v>28</v>
      </c>
      <c r="B186" t="s">
        <v>15</v>
      </c>
      <c r="C186" s="244">
        <v>43141</v>
      </c>
      <c r="D186" s="245">
        <v>1775</v>
      </c>
      <c r="E186" t="s">
        <v>128</v>
      </c>
      <c r="F186" s="247">
        <v>5523.84</v>
      </c>
    </row>
    <row r="187" spans="1:6" x14ac:dyDescent="0.25">
      <c r="A187" t="s">
        <v>28</v>
      </c>
      <c r="B187" t="s">
        <v>17</v>
      </c>
      <c r="C187" s="244">
        <v>43141</v>
      </c>
      <c r="D187" s="245">
        <v>1776</v>
      </c>
      <c r="E187" t="s">
        <v>128</v>
      </c>
      <c r="F187" s="247">
        <v>17230.753000000001</v>
      </c>
    </row>
    <row r="188" spans="1:6" x14ac:dyDescent="0.25">
      <c r="A188" t="s">
        <v>28</v>
      </c>
      <c r="B188" t="s">
        <v>16</v>
      </c>
      <c r="C188" s="244">
        <v>43141</v>
      </c>
      <c r="D188" s="245">
        <v>1776</v>
      </c>
      <c r="E188" t="s">
        <v>128</v>
      </c>
      <c r="F188" s="247">
        <v>8018.1769999999997</v>
      </c>
    </row>
    <row r="189" spans="1:6" x14ac:dyDescent="0.25">
      <c r="A189" t="s">
        <v>28</v>
      </c>
      <c r="B189" t="s">
        <v>18</v>
      </c>
      <c r="C189" s="244">
        <v>43141</v>
      </c>
      <c r="D189" s="245">
        <v>1776</v>
      </c>
      <c r="E189" t="s">
        <v>128</v>
      </c>
      <c r="F189" s="247">
        <v>1227.135</v>
      </c>
    </row>
    <row r="190" spans="1:6" x14ac:dyDescent="0.25">
      <c r="A190" t="s">
        <v>28</v>
      </c>
      <c r="B190" t="s">
        <v>15</v>
      </c>
      <c r="C190" s="244">
        <v>43141</v>
      </c>
      <c r="D190" s="245">
        <v>1777</v>
      </c>
      <c r="E190" t="s">
        <v>130</v>
      </c>
      <c r="F190" s="247">
        <v>10342.074000000001</v>
      </c>
    </row>
    <row r="191" spans="1:6" x14ac:dyDescent="0.25">
      <c r="A191" t="s">
        <v>28</v>
      </c>
      <c r="B191" t="s">
        <v>15</v>
      </c>
      <c r="C191" s="244">
        <v>43141</v>
      </c>
      <c r="D191" s="245">
        <v>1778</v>
      </c>
      <c r="E191" t="s">
        <v>132</v>
      </c>
      <c r="F191" s="247">
        <v>6123.5959999999995</v>
      </c>
    </row>
    <row r="192" spans="1:6" x14ac:dyDescent="0.25">
      <c r="A192" t="s">
        <v>28</v>
      </c>
      <c r="B192" t="s">
        <v>16</v>
      </c>
      <c r="C192" s="244">
        <v>43141</v>
      </c>
      <c r="D192" s="245">
        <v>1779</v>
      </c>
      <c r="E192" t="s">
        <v>124</v>
      </c>
      <c r="F192" s="247">
        <v>5879.9979999999996</v>
      </c>
    </row>
    <row r="193" spans="1:6" x14ac:dyDescent="0.25">
      <c r="A193" t="s">
        <v>28</v>
      </c>
      <c r="B193" t="s">
        <v>18</v>
      </c>
      <c r="C193" s="244">
        <v>43141</v>
      </c>
      <c r="D193" s="245">
        <v>1779</v>
      </c>
      <c r="E193" t="s">
        <v>124</v>
      </c>
      <c r="F193" s="247">
        <v>1227.135</v>
      </c>
    </row>
    <row r="194" spans="1:6" x14ac:dyDescent="0.25">
      <c r="A194" t="s">
        <v>28</v>
      </c>
      <c r="B194" t="s">
        <v>190</v>
      </c>
      <c r="C194" s="244">
        <v>43141</v>
      </c>
      <c r="D194" s="245">
        <v>1779</v>
      </c>
      <c r="E194" t="s">
        <v>124</v>
      </c>
      <c r="F194" s="247">
        <v>3062.069</v>
      </c>
    </row>
    <row r="195" spans="1:6" x14ac:dyDescent="0.25">
      <c r="A195" t="s">
        <v>32</v>
      </c>
      <c r="B195" t="s">
        <v>17</v>
      </c>
      <c r="C195" s="244">
        <v>43142</v>
      </c>
      <c r="D195" s="245">
        <v>1780</v>
      </c>
      <c r="E195" t="s">
        <v>138</v>
      </c>
      <c r="F195" s="247">
        <v>6382.612000000001</v>
      </c>
    </row>
    <row r="196" spans="1:6" x14ac:dyDescent="0.25">
      <c r="A196" t="s">
        <v>28</v>
      </c>
      <c r="B196" t="s">
        <v>15</v>
      </c>
      <c r="C196" s="244">
        <v>43143</v>
      </c>
      <c r="D196" s="245">
        <v>1781</v>
      </c>
      <c r="E196" t="s">
        <v>128</v>
      </c>
      <c r="F196" s="247">
        <v>9424.7900000000009</v>
      </c>
    </row>
    <row r="197" spans="1:6" x14ac:dyDescent="0.25">
      <c r="A197" t="s">
        <v>28</v>
      </c>
      <c r="B197" t="s">
        <v>17</v>
      </c>
      <c r="C197" s="244">
        <v>43144</v>
      </c>
      <c r="D197" s="245">
        <v>1782</v>
      </c>
      <c r="E197" t="s">
        <v>134</v>
      </c>
      <c r="F197" s="247">
        <v>5846.1559999999999</v>
      </c>
    </row>
    <row r="198" spans="1:6" x14ac:dyDescent="0.25">
      <c r="A198" t="s">
        <v>28</v>
      </c>
      <c r="B198" t="s">
        <v>17</v>
      </c>
      <c r="C198" s="244">
        <v>43146</v>
      </c>
      <c r="D198" s="245">
        <v>1783</v>
      </c>
      <c r="E198" t="s">
        <v>132</v>
      </c>
      <c r="F198" s="247">
        <v>5743.5830000000005</v>
      </c>
    </row>
    <row r="199" spans="1:6" x14ac:dyDescent="0.25">
      <c r="A199" t="s">
        <v>28</v>
      </c>
      <c r="B199" t="s">
        <v>16</v>
      </c>
      <c r="C199" s="244">
        <v>43146</v>
      </c>
      <c r="D199" s="245">
        <v>1783</v>
      </c>
      <c r="E199" t="s">
        <v>132</v>
      </c>
      <c r="F199" s="247">
        <v>4062.5460000000003</v>
      </c>
    </row>
    <row r="200" spans="1:6" x14ac:dyDescent="0.25">
      <c r="A200" t="s">
        <v>28</v>
      </c>
      <c r="B200" t="s">
        <v>18</v>
      </c>
      <c r="C200" s="244">
        <v>43146</v>
      </c>
      <c r="D200" s="245">
        <v>1783</v>
      </c>
      <c r="E200" t="s">
        <v>132</v>
      </c>
      <c r="F200" s="247">
        <v>852.17700000000002</v>
      </c>
    </row>
    <row r="201" spans="1:6" x14ac:dyDescent="0.25">
      <c r="A201" t="s">
        <v>28</v>
      </c>
      <c r="B201" t="s">
        <v>190</v>
      </c>
      <c r="C201" s="244">
        <v>43146</v>
      </c>
      <c r="D201" s="245">
        <v>1783</v>
      </c>
      <c r="E201" t="s">
        <v>132</v>
      </c>
      <c r="F201" s="247">
        <v>1006.896</v>
      </c>
    </row>
    <row r="202" spans="1:6" x14ac:dyDescent="0.25">
      <c r="A202" t="s">
        <v>28</v>
      </c>
      <c r="B202" t="s">
        <v>15</v>
      </c>
      <c r="C202" s="244">
        <v>43147</v>
      </c>
      <c r="D202" s="245">
        <v>1784</v>
      </c>
      <c r="E202" t="s">
        <v>129</v>
      </c>
      <c r="F202" s="247">
        <v>12718.438999999998</v>
      </c>
    </row>
    <row r="203" spans="1:6" x14ac:dyDescent="0.25">
      <c r="A203" t="s">
        <v>28</v>
      </c>
      <c r="B203" t="s">
        <v>17</v>
      </c>
      <c r="C203" s="244">
        <v>43147</v>
      </c>
      <c r="D203" s="245">
        <v>1785</v>
      </c>
      <c r="E203" t="s">
        <v>129</v>
      </c>
      <c r="F203" s="247">
        <v>16410.246999999999</v>
      </c>
    </row>
    <row r="204" spans="1:6" x14ac:dyDescent="0.25">
      <c r="A204" t="s">
        <v>28</v>
      </c>
      <c r="B204" t="s">
        <v>15</v>
      </c>
      <c r="C204" s="244">
        <v>43148</v>
      </c>
      <c r="D204" s="245">
        <v>1786</v>
      </c>
      <c r="E204" t="s">
        <v>124</v>
      </c>
      <c r="F204" s="247">
        <v>17501.565999999999</v>
      </c>
    </row>
    <row r="205" spans="1:6" x14ac:dyDescent="0.25">
      <c r="A205" t="s">
        <v>28</v>
      </c>
      <c r="B205" t="s">
        <v>17</v>
      </c>
      <c r="C205" s="244">
        <v>43148</v>
      </c>
      <c r="D205" s="245">
        <v>1787</v>
      </c>
      <c r="E205" t="s">
        <v>124</v>
      </c>
      <c r="F205" s="247">
        <v>15999.977000000001</v>
      </c>
    </row>
    <row r="206" spans="1:6" x14ac:dyDescent="0.25">
      <c r="A206" t="s">
        <v>28</v>
      </c>
      <c r="B206" t="s">
        <v>15</v>
      </c>
      <c r="C206" s="244">
        <v>43148</v>
      </c>
      <c r="D206" s="245">
        <v>1788</v>
      </c>
      <c r="E206" t="s">
        <v>128</v>
      </c>
      <c r="F206" s="247">
        <v>9429.8389999999999</v>
      </c>
    </row>
    <row r="207" spans="1:6" x14ac:dyDescent="0.25">
      <c r="A207" t="s">
        <v>28</v>
      </c>
      <c r="B207" t="s">
        <v>15</v>
      </c>
      <c r="C207" s="244">
        <v>43148</v>
      </c>
      <c r="D207" s="245">
        <v>1789</v>
      </c>
      <c r="E207" t="s">
        <v>130</v>
      </c>
      <c r="F207" s="247">
        <v>10397.520999999999</v>
      </c>
    </row>
    <row r="208" spans="1:6" x14ac:dyDescent="0.25">
      <c r="A208" t="s">
        <v>28</v>
      </c>
      <c r="B208" t="s">
        <v>17</v>
      </c>
      <c r="C208" s="244">
        <v>43148</v>
      </c>
      <c r="D208" s="245">
        <v>1790</v>
      </c>
      <c r="E208" t="s">
        <v>131</v>
      </c>
      <c r="F208" s="247">
        <v>8410.2489999999998</v>
      </c>
    </row>
    <row r="209" spans="1:6" x14ac:dyDescent="0.25">
      <c r="A209" t="s">
        <v>28</v>
      </c>
      <c r="B209" t="s">
        <v>18</v>
      </c>
      <c r="C209" s="244">
        <v>43148</v>
      </c>
      <c r="D209" s="245">
        <v>1790</v>
      </c>
      <c r="E209" t="s">
        <v>131</v>
      </c>
      <c r="F209" s="247">
        <v>1073.7429999999999</v>
      </c>
    </row>
    <row r="210" spans="1:6" x14ac:dyDescent="0.25">
      <c r="A210" t="s">
        <v>28</v>
      </c>
      <c r="B210" t="s">
        <v>16</v>
      </c>
      <c r="C210" s="244">
        <v>43150</v>
      </c>
      <c r="D210" s="245">
        <v>1791</v>
      </c>
      <c r="E210" t="s">
        <v>123</v>
      </c>
      <c r="F210" s="247">
        <v>9087.2699999999986</v>
      </c>
    </row>
    <row r="211" spans="1:6" x14ac:dyDescent="0.25">
      <c r="A211" t="s">
        <v>28</v>
      </c>
      <c r="B211" t="s">
        <v>18</v>
      </c>
      <c r="C211" s="244">
        <v>43150</v>
      </c>
      <c r="D211" s="245">
        <v>1791</v>
      </c>
      <c r="E211" t="s">
        <v>123</v>
      </c>
      <c r="F211" s="247">
        <v>1866.27</v>
      </c>
    </row>
    <row r="212" spans="1:6" x14ac:dyDescent="0.25">
      <c r="A212" t="s">
        <v>28</v>
      </c>
      <c r="B212" t="s">
        <v>190</v>
      </c>
      <c r="C212" s="244">
        <v>43150</v>
      </c>
      <c r="D212" s="245">
        <v>1791</v>
      </c>
      <c r="E212" t="s">
        <v>123</v>
      </c>
      <c r="F212">
        <v>517.24</v>
      </c>
    </row>
    <row r="213" spans="1:6" x14ac:dyDescent="0.25">
      <c r="B213" t="s">
        <v>17</v>
      </c>
      <c r="C213" s="244">
        <v>43150</v>
      </c>
      <c r="D213" s="245">
        <v>1792</v>
      </c>
      <c r="F213" s="247">
        <v>12589.73</v>
      </c>
    </row>
    <row r="214" spans="1:6" x14ac:dyDescent="0.25">
      <c r="A214" t="s">
        <v>28</v>
      </c>
      <c r="B214" t="s">
        <v>15</v>
      </c>
      <c r="C214" s="244">
        <v>43150</v>
      </c>
      <c r="D214" s="245">
        <v>1793</v>
      </c>
      <c r="E214" t="s">
        <v>123</v>
      </c>
      <c r="F214" s="247">
        <v>4062.2400000000002</v>
      </c>
    </row>
    <row r="215" spans="1:6" x14ac:dyDescent="0.25">
      <c r="A215" t="s">
        <v>28</v>
      </c>
      <c r="B215" t="s">
        <v>15</v>
      </c>
      <c r="C215" s="244">
        <v>43150</v>
      </c>
      <c r="D215" s="245">
        <v>1794</v>
      </c>
      <c r="E215" t="s">
        <v>126</v>
      </c>
      <c r="F215" s="247">
        <v>5196.24</v>
      </c>
    </row>
    <row r="216" spans="1:6" x14ac:dyDescent="0.25">
      <c r="A216" t="s">
        <v>32</v>
      </c>
      <c r="B216" t="s">
        <v>17</v>
      </c>
      <c r="C216" s="244">
        <v>43150</v>
      </c>
      <c r="D216" s="245">
        <v>1795</v>
      </c>
      <c r="E216" t="s">
        <v>192</v>
      </c>
      <c r="F216" s="247">
        <v>5634.7849999999999</v>
      </c>
    </row>
    <row r="217" spans="1:6" x14ac:dyDescent="0.25">
      <c r="A217" t="s">
        <v>32</v>
      </c>
      <c r="B217" t="s">
        <v>16</v>
      </c>
      <c r="C217" s="244">
        <v>43150</v>
      </c>
      <c r="D217" s="245">
        <v>1795</v>
      </c>
      <c r="E217" t="s">
        <v>192</v>
      </c>
      <c r="F217" s="247">
        <v>1008.6980000000001</v>
      </c>
    </row>
    <row r="218" spans="1:6" x14ac:dyDescent="0.25">
      <c r="A218" t="s">
        <v>28</v>
      </c>
      <c r="B218" t="s">
        <v>17</v>
      </c>
      <c r="C218" s="244">
        <v>43150</v>
      </c>
      <c r="D218" s="245">
        <v>1796</v>
      </c>
      <c r="E218" t="s">
        <v>127</v>
      </c>
      <c r="F218" s="247">
        <v>3025.6419999999998</v>
      </c>
    </row>
    <row r="219" spans="1:6" x14ac:dyDescent="0.25">
      <c r="A219" t="s">
        <v>28</v>
      </c>
      <c r="B219" t="s">
        <v>17</v>
      </c>
      <c r="C219" s="244">
        <v>43152</v>
      </c>
      <c r="D219" s="245">
        <v>1797</v>
      </c>
      <c r="E219" t="s">
        <v>129</v>
      </c>
      <c r="F219" s="247">
        <v>2461.538</v>
      </c>
    </row>
    <row r="220" spans="1:6" x14ac:dyDescent="0.25">
      <c r="A220" t="s">
        <v>28</v>
      </c>
      <c r="B220" t="s">
        <v>16</v>
      </c>
      <c r="C220" s="244">
        <v>43152</v>
      </c>
      <c r="D220" s="245">
        <v>1797</v>
      </c>
      <c r="E220" t="s">
        <v>129</v>
      </c>
      <c r="F220" s="247">
        <v>9942.5460000000021</v>
      </c>
    </row>
    <row r="221" spans="1:6" x14ac:dyDescent="0.25">
      <c r="A221" t="s">
        <v>28</v>
      </c>
      <c r="B221" t="s">
        <v>190</v>
      </c>
      <c r="C221" s="244">
        <v>43152</v>
      </c>
      <c r="D221" s="245">
        <v>1797</v>
      </c>
      <c r="E221" t="s">
        <v>129</v>
      </c>
      <c r="F221" s="247">
        <v>2068.9659999999999</v>
      </c>
    </row>
    <row r="222" spans="1:6" x14ac:dyDescent="0.25">
      <c r="A222" t="s">
        <v>28</v>
      </c>
      <c r="B222" t="s">
        <v>16</v>
      </c>
      <c r="C222" s="244">
        <v>43152</v>
      </c>
      <c r="D222" s="245">
        <v>1798</v>
      </c>
      <c r="E222" t="s">
        <v>127</v>
      </c>
      <c r="F222" s="247">
        <v>1603.6369999999999</v>
      </c>
    </row>
    <row r="223" spans="1:6" x14ac:dyDescent="0.25">
      <c r="A223" t="s">
        <v>28</v>
      </c>
      <c r="B223" t="s">
        <v>15</v>
      </c>
      <c r="C223" s="244">
        <v>43152</v>
      </c>
      <c r="D223" s="245">
        <v>1799</v>
      </c>
      <c r="E223" t="s">
        <v>129</v>
      </c>
      <c r="F223" s="247">
        <v>9272.0840000000007</v>
      </c>
    </row>
    <row r="224" spans="1:6" x14ac:dyDescent="0.25">
      <c r="A224" t="s">
        <v>28</v>
      </c>
      <c r="B224" t="s">
        <v>15</v>
      </c>
      <c r="C224" s="244">
        <v>43152</v>
      </c>
      <c r="D224" s="245">
        <v>1800</v>
      </c>
      <c r="E224" t="s">
        <v>130</v>
      </c>
      <c r="F224" s="247">
        <v>6758.6420000000007</v>
      </c>
    </row>
    <row r="225" spans="1:6" x14ac:dyDescent="0.25">
      <c r="A225" t="s">
        <v>28</v>
      </c>
      <c r="B225" t="s">
        <v>17</v>
      </c>
      <c r="C225" s="244">
        <v>43152</v>
      </c>
      <c r="D225" s="245">
        <v>1801</v>
      </c>
      <c r="E225" t="s">
        <v>130</v>
      </c>
      <c r="F225" s="247">
        <v>2461.538</v>
      </c>
    </row>
    <row r="226" spans="1:6" x14ac:dyDescent="0.25">
      <c r="A226" t="s">
        <v>28</v>
      </c>
      <c r="B226" t="s">
        <v>191</v>
      </c>
      <c r="C226" s="244">
        <v>43152</v>
      </c>
      <c r="D226" s="245">
        <v>1801</v>
      </c>
      <c r="E226" t="s">
        <v>130</v>
      </c>
      <c r="F226" s="247">
        <v>4988.8799999999992</v>
      </c>
    </row>
    <row r="227" spans="1:6" x14ac:dyDescent="0.25">
      <c r="A227" t="s">
        <v>28</v>
      </c>
      <c r="B227" t="s">
        <v>191</v>
      </c>
      <c r="C227" s="244">
        <v>43152</v>
      </c>
      <c r="D227" s="245">
        <v>1802</v>
      </c>
      <c r="E227" t="s">
        <v>129</v>
      </c>
      <c r="F227" s="247">
        <v>6797.9189999999999</v>
      </c>
    </row>
    <row r="228" spans="1:6" x14ac:dyDescent="0.25">
      <c r="A228" t="s">
        <v>28</v>
      </c>
      <c r="B228" t="s">
        <v>191</v>
      </c>
      <c r="C228" s="244">
        <v>43153</v>
      </c>
      <c r="D228" s="245">
        <v>1803</v>
      </c>
      <c r="E228" t="s">
        <v>128</v>
      </c>
      <c r="F228" s="247">
        <v>8535.0780000000013</v>
      </c>
    </row>
    <row r="229" spans="1:6" x14ac:dyDescent="0.25">
      <c r="A229" t="s">
        <v>28</v>
      </c>
      <c r="B229" t="s">
        <v>191</v>
      </c>
      <c r="C229" s="244">
        <v>43153</v>
      </c>
      <c r="D229" s="245">
        <v>1804</v>
      </c>
      <c r="E229" t="s">
        <v>131</v>
      </c>
      <c r="F229" s="247">
        <v>4002.3400000000006</v>
      </c>
    </row>
    <row r="230" spans="1:6" x14ac:dyDescent="0.25">
      <c r="A230" t="s">
        <v>28</v>
      </c>
      <c r="B230" t="s">
        <v>191</v>
      </c>
      <c r="C230" s="244">
        <v>43153</v>
      </c>
      <c r="D230" s="245">
        <v>1805</v>
      </c>
      <c r="E230" t="s">
        <v>126</v>
      </c>
      <c r="F230" s="247">
        <v>4007.3400000000006</v>
      </c>
    </row>
    <row r="231" spans="1:6" x14ac:dyDescent="0.25">
      <c r="A231" t="s">
        <v>28</v>
      </c>
      <c r="B231" t="s">
        <v>191</v>
      </c>
      <c r="C231" s="244">
        <v>43153</v>
      </c>
      <c r="D231" s="245">
        <v>1806</v>
      </c>
      <c r="E231" t="s">
        <v>124</v>
      </c>
      <c r="F231" s="247">
        <v>6313.8790000000008</v>
      </c>
    </row>
    <row r="232" spans="1:6" x14ac:dyDescent="0.25">
      <c r="A232" t="s">
        <v>28</v>
      </c>
      <c r="B232" t="s">
        <v>190</v>
      </c>
      <c r="C232" s="244">
        <v>43153</v>
      </c>
      <c r="D232" s="245">
        <v>1807</v>
      </c>
      <c r="E232" t="s">
        <v>123</v>
      </c>
      <c r="F232" s="247">
        <v>1282.758</v>
      </c>
    </row>
    <row r="233" spans="1:6" x14ac:dyDescent="0.25">
      <c r="A233" t="s">
        <v>28</v>
      </c>
      <c r="B233" t="s">
        <v>191</v>
      </c>
      <c r="C233" s="244">
        <v>43153</v>
      </c>
      <c r="D233" s="245">
        <v>1807</v>
      </c>
      <c r="E233" t="s">
        <v>123</v>
      </c>
      <c r="F233" s="247">
        <v>3039.74</v>
      </c>
    </row>
    <row r="234" spans="1:6" x14ac:dyDescent="0.25">
      <c r="A234" t="s">
        <v>28</v>
      </c>
      <c r="B234" t="s">
        <v>16</v>
      </c>
      <c r="C234" s="244">
        <v>43153</v>
      </c>
      <c r="D234" s="245">
        <v>1808</v>
      </c>
      <c r="E234" t="s">
        <v>124</v>
      </c>
      <c r="F234" s="247">
        <v>3349.8230000000003</v>
      </c>
    </row>
    <row r="235" spans="1:6" x14ac:dyDescent="0.25">
      <c r="A235" t="s">
        <v>28</v>
      </c>
      <c r="B235" t="s">
        <v>15</v>
      </c>
      <c r="C235" s="244">
        <v>43153</v>
      </c>
      <c r="D235" s="245">
        <v>1809</v>
      </c>
      <c r="E235" t="s">
        <v>128</v>
      </c>
      <c r="F235" s="247">
        <v>15183.001</v>
      </c>
    </row>
    <row r="236" spans="1:6" x14ac:dyDescent="0.25">
      <c r="A236" t="s">
        <v>28</v>
      </c>
      <c r="B236" t="s">
        <v>15</v>
      </c>
      <c r="C236" s="244">
        <v>43153</v>
      </c>
      <c r="D236" s="245">
        <v>1810</v>
      </c>
      <c r="E236" t="s">
        <v>128</v>
      </c>
      <c r="F236" s="247">
        <v>1260</v>
      </c>
    </row>
    <row r="237" spans="1:6" x14ac:dyDescent="0.25">
      <c r="A237" t="s">
        <v>28</v>
      </c>
      <c r="B237" t="s">
        <v>17</v>
      </c>
      <c r="C237" s="244">
        <v>43154</v>
      </c>
      <c r="D237" s="245">
        <v>1811</v>
      </c>
      <c r="E237" t="s">
        <v>135</v>
      </c>
      <c r="F237" s="247">
        <v>2564.0929999999998</v>
      </c>
    </row>
    <row r="238" spans="1:6" x14ac:dyDescent="0.25">
      <c r="A238" t="s">
        <v>28</v>
      </c>
      <c r="B238" t="s">
        <v>17</v>
      </c>
      <c r="C238" s="244">
        <v>43155</v>
      </c>
      <c r="D238" s="245">
        <v>1812</v>
      </c>
      <c r="E238" t="s">
        <v>130</v>
      </c>
      <c r="F238" s="247">
        <v>18153.835999999996</v>
      </c>
    </row>
    <row r="239" spans="1:6" x14ac:dyDescent="0.25">
      <c r="A239" t="s">
        <v>28</v>
      </c>
      <c r="B239" t="s">
        <v>18</v>
      </c>
      <c r="C239" s="244">
        <v>43155</v>
      </c>
      <c r="D239" s="245">
        <v>1812</v>
      </c>
      <c r="E239" t="s">
        <v>130</v>
      </c>
      <c r="F239" s="247">
        <v>1073.7429999999999</v>
      </c>
    </row>
    <row r="240" spans="1:6" x14ac:dyDescent="0.25">
      <c r="A240" t="s">
        <v>28</v>
      </c>
      <c r="B240" t="s">
        <v>191</v>
      </c>
      <c r="C240" s="244">
        <v>43155</v>
      </c>
      <c r="D240" s="245">
        <v>1813</v>
      </c>
      <c r="E240" t="s">
        <v>125</v>
      </c>
      <c r="F240" s="247">
        <v>5009.7389999999987</v>
      </c>
    </row>
    <row r="241" spans="1:8" x14ac:dyDescent="0.25">
      <c r="A241" t="s">
        <v>28</v>
      </c>
      <c r="B241" t="s">
        <v>15</v>
      </c>
      <c r="C241" s="244">
        <v>43155</v>
      </c>
      <c r="D241" s="245">
        <v>1814</v>
      </c>
      <c r="E241" t="s">
        <v>125</v>
      </c>
      <c r="F241" s="247">
        <v>16314.482</v>
      </c>
    </row>
    <row r="242" spans="1:8" x14ac:dyDescent="0.25">
      <c r="A242" t="s">
        <v>28</v>
      </c>
      <c r="B242" t="s">
        <v>17</v>
      </c>
      <c r="C242" s="244">
        <v>43155</v>
      </c>
      <c r="D242" s="245">
        <v>1815</v>
      </c>
      <c r="E242" t="s">
        <v>125</v>
      </c>
      <c r="F242" s="247">
        <v>8205.1229999999996</v>
      </c>
    </row>
    <row r="243" spans="1:8" x14ac:dyDescent="0.25">
      <c r="A243" t="s">
        <v>28</v>
      </c>
      <c r="B243" t="s">
        <v>17</v>
      </c>
      <c r="C243" s="244">
        <v>43155</v>
      </c>
      <c r="D243" s="245">
        <v>1816</v>
      </c>
      <c r="E243" t="s">
        <v>122</v>
      </c>
      <c r="F243" s="247">
        <v>6974.3469999999998</v>
      </c>
    </row>
    <row r="244" spans="1:8" x14ac:dyDescent="0.25">
      <c r="A244" t="s">
        <v>28</v>
      </c>
      <c r="B244" t="s">
        <v>16</v>
      </c>
      <c r="C244" s="244">
        <v>43155</v>
      </c>
      <c r="D244" s="245">
        <v>1816</v>
      </c>
      <c r="E244" t="s">
        <v>122</v>
      </c>
      <c r="F244" s="247">
        <v>427.63600000000002</v>
      </c>
    </row>
    <row r="245" spans="1:8" x14ac:dyDescent="0.25">
      <c r="A245" t="s">
        <v>28</v>
      </c>
      <c r="B245" t="s">
        <v>15</v>
      </c>
      <c r="C245" s="244">
        <v>43158</v>
      </c>
      <c r="D245" s="245">
        <v>1817</v>
      </c>
      <c r="E245" t="s">
        <v>132</v>
      </c>
      <c r="F245" s="247">
        <v>6930</v>
      </c>
    </row>
    <row r="246" spans="1:8" x14ac:dyDescent="0.25">
      <c r="A246" t="s">
        <v>28</v>
      </c>
      <c r="B246" t="s">
        <v>15</v>
      </c>
      <c r="C246" s="244">
        <v>43158</v>
      </c>
      <c r="D246" s="245">
        <v>1818</v>
      </c>
      <c r="E246" t="s">
        <v>130</v>
      </c>
      <c r="F246" s="247">
        <v>9036.7150000000001</v>
      </c>
    </row>
    <row r="247" spans="1:8" x14ac:dyDescent="0.25">
      <c r="A247" t="s">
        <v>28</v>
      </c>
      <c r="B247" t="s">
        <v>17</v>
      </c>
      <c r="C247" s="244">
        <v>43160</v>
      </c>
      <c r="D247" s="245">
        <v>1819</v>
      </c>
      <c r="E247" t="s">
        <v>133</v>
      </c>
      <c r="F247" s="247">
        <v>7384.6059999999998</v>
      </c>
    </row>
    <row r="248" spans="1:8" x14ac:dyDescent="0.25">
      <c r="A248" t="s">
        <v>28</v>
      </c>
      <c r="B248" t="s">
        <v>15</v>
      </c>
      <c r="C248" s="244">
        <v>43161</v>
      </c>
      <c r="D248" s="245">
        <v>1820</v>
      </c>
      <c r="E248" t="s">
        <v>128</v>
      </c>
      <c r="F248" s="247">
        <v>12433.674000000001</v>
      </c>
    </row>
    <row r="249" spans="1:8" x14ac:dyDescent="0.25">
      <c r="A249" t="s">
        <v>28</v>
      </c>
      <c r="B249" t="s">
        <v>17</v>
      </c>
      <c r="C249" s="244">
        <v>43161</v>
      </c>
      <c r="D249" s="245">
        <v>1821</v>
      </c>
      <c r="E249" t="s">
        <v>128</v>
      </c>
      <c r="F249" s="247">
        <v>14769.221</v>
      </c>
      <c r="G249" s="247"/>
    </row>
    <row r="250" spans="1:8" x14ac:dyDescent="0.25">
      <c r="A250" t="s">
        <v>28</v>
      </c>
      <c r="B250" t="s">
        <v>191</v>
      </c>
      <c r="C250" s="244">
        <v>43161</v>
      </c>
      <c r="D250" s="245">
        <v>1821</v>
      </c>
      <c r="E250" t="s">
        <v>128</v>
      </c>
      <c r="F250" s="247">
        <v>2410.8000000000002</v>
      </c>
      <c r="G250" s="247"/>
      <c r="H250" s="247"/>
    </row>
    <row r="251" spans="1:8" x14ac:dyDescent="0.25">
      <c r="A251" t="s">
        <v>28</v>
      </c>
      <c r="B251" t="s">
        <v>15</v>
      </c>
      <c r="C251" s="244">
        <v>43162</v>
      </c>
      <c r="D251" s="245">
        <v>1822</v>
      </c>
      <c r="E251" t="s">
        <v>130</v>
      </c>
      <c r="F251" s="247">
        <v>7781.76</v>
      </c>
    </row>
    <row r="252" spans="1:8" x14ac:dyDescent="0.25">
      <c r="A252" t="s">
        <v>28</v>
      </c>
      <c r="B252" t="s">
        <v>17</v>
      </c>
      <c r="C252" s="244">
        <v>43162</v>
      </c>
      <c r="D252" s="245">
        <v>1823</v>
      </c>
      <c r="E252" t="s">
        <v>129</v>
      </c>
      <c r="F252" s="247">
        <v>11999.993</v>
      </c>
    </row>
    <row r="253" spans="1:8" x14ac:dyDescent="0.25">
      <c r="A253" t="s">
        <v>28</v>
      </c>
      <c r="B253" t="s">
        <v>15</v>
      </c>
      <c r="C253" s="244">
        <v>43164</v>
      </c>
      <c r="D253" s="245">
        <v>1824</v>
      </c>
      <c r="E253" t="s">
        <v>128</v>
      </c>
      <c r="F253" s="247">
        <v>11037.6</v>
      </c>
    </row>
    <row r="254" spans="1:8" x14ac:dyDescent="0.25">
      <c r="A254" t="s">
        <v>28</v>
      </c>
      <c r="B254" t="s">
        <v>17</v>
      </c>
      <c r="C254" s="244">
        <v>43164</v>
      </c>
      <c r="D254" s="245">
        <v>1824</v>
      </c>
      <c r="E254" t="s">
        <v>128</v>
      </c>
      <c r="F254" s="247">
        <v>1641.019</v>
      </c>
    </row>
    <row r="255" spans="1:8" x14ac:dyDescent="0.25">
      <c r="A255" t="s">
        <v>28</v>
      </c>
      <c r="B255" t="s">
        <v>191</v>
      </c>
      <c r="C255" s="244">
        <v>43164</v>
      </c>
      <c r="D255" s="245">
        <v>1824</v>
      </c>
      <c r="E255" t="s">
        <v>128</v>
      </c>
      <c r="F255" s="247">
        <v>1869.5989999999999</v>
      </c>
    </row>
    <row r="256" spans="1:8" x14ac:dyDescent="0.25">
      <c r="A256" t="s">
        <v>28</v>
      </c>
      <c r="B256" t="s">
        <v>15</v>
      </c>
      <c r="C256" s="244">
        <v>43164</v>
      </c>
      <c r="D256" s="245">
        <v>1825</v>
      </c>
      <c r="E256" t="s">
        <v>130</v>
      </c>
      <c r="F256" s="247">
        <v>7030.8009999999995</v>
      </c>
    </row>
    <row r="257" spans="1:6" x14ac:dyDescent="0.25">
      <c r="A257" t="s">
        <v>28</v>
      </c>
      <c r="B257" t="s">
        <v>190</v>
      </c>
      <c r="C257" s="244">
        <v>43164</v>
      </c>
      <c r="D257" s="245">
        <v>1825</v>
      </c>
      <c r="E257" t="s">
        <v>130</v>
      </c>
      <c r="F257" s="247">
        <v>1034.482</v>
      </c>
    </row>
    <row r="258" spans="1:6" x14ac:dyDescent="0.25">
      <c r="A258" t="s">
        <v>28</v>
      </c>
      <c r="B258" t="s">
        <v>17</v>
      </c>
      <c r="C258" s="244">
        <v>43165</v>
      </c>
      <c r="D258" s="245">
        <v>1826</v>
      </c>
      <c r="E258" t="s">
        <v>123</v>
      </c>
      <c r="F258" s="247">
        <v>11999.999</v>
      </c>
    </row>
    <row r="259" spans="1:6" x14ac:dyDescent="0.25">
      <c r="A259" t="s">
        <v>28</v>
      </c>
      <c r="B259" t="s">
        <v>15</v>
      </c>
      <c r="C259" s="244">
        <v>43165</v>
      </c>
      <c r="D259" s="245">
        <v>1827</v>
      </c>
      <c r="E259" t="s">
        <v>129</v>
      </c>
      <c r="F259" s="247">
        <v>17942.403999999999</v>
      </c>
    </row>
    <row r="260" spans="1:6" x14ac:dyDescent="0.25">
      <c r="A260" t="s">
        <v>32</v>
      </c>
      <c r="B260" t="s">
        <v>17</v>
      </c>
      <c r="C260" s="244">
        <v>43165</v>
      </c>
      <c r="D260" s="245">
        <v>1828</v>
      </c>
      <c r="E260" t="s">
        <v>138</v>
      </c>
      <c r="F260" s="247">
        <v>6330.436999999999</v>
      </c>
    </row>
    <row r="261" spans="1:6" x14ac:dyDescent="0.25">
      <c r="A261" t="s">
        <v>32</v>
      </c>
      <c r="B261" t="s">
        <v>16</v>
      </c>
      <c r="C261" s="244">
        <v>43168</v>
      </c>
      <c r="D261" s="245">
        <v>1829</v>
      </c>
      <c r="E261" t="s">
        <v>137</v>
      </c>
      <c r="F261" s="247">
        <v>1669.5650000000001</v>
      </c>
    </row>
    <row r="262" spans="1:6" x14ac:dyDescent="0.25">
      <c r="A262" t="s">
        <v>28</v>
      </c>
      <c r="B262" t="s">
        <v>15</v>
      </c>
      <c r="C262" s="244">
        <v>43168</v>
      </c>
      <c r="D262" s="245">
        <v>1830</v>
      </c>
      <c r="E262" t="s">
        <v>132</v>
      </c>
      <c r="F262" s="247">
        <v>3971.5209999999997</v>
      </c>
    </row>
    <row r="263" spans="1:6" x14ac:dyDescent="0.25">
      <c r="A263" t="s">
        <v>28</v>
      </c>
      <c r="B263" t="s">
        <v>17</v>
      </c>
      <c r="C263" s="244">
        <v>43168</v>
      </c>
      <c r="D263" s="245">
        <v>1830</v>
      </c>
      <c r="E263" t="s">
        <v>132</v>
      </c>
      <c r="F263" s="247">
        <v>3743.58</v>
      </c>
    </row>
    <row r="264" spans="1:6" x14ac:dyDescent="0.25">
      <c r="A264" t="s">
        <v>28</v>
      </c>
      <c r="B264" t="s">
        <v>18</v>
      </c>
      <c r="C264" s="244">
        <v>43168</v>
      </c>
      <c r="D264" s="245">
        <v>1830</v>
      </c>
      <c r="E264" t="s">
        <v>132</v>
      </c>
      <c r="F264" s="247">
        <v>613.56700000000001</v>
      </c>
    </row>
    <row r="265" spans="1:6" x14ac:dyDescent="0.25">
      <c r="A265" t="s">
        <v>28</v>
      </c>
      <c r="B265" t="s">
        <v>15</v>
      </c>
      <c r="C265" s="244">
        <v>43169</v>
      </c>
      <c r="D265" s="245">
        <v>1831</v>
      </c>
      <c r="E265" t="s">
        <v>130</v>
      </c>
      <c r="F265" s="247">
        <v>14172.482</v>
      </c>
    </row>
    <row r="266" spans="1:6" x14ac:dyDescent="0.25">
      <c r="A266" t="s">
        <v>28</v>
      </c>
      <c r="B266" t="s">
        <v>15</v>
      </c>
      <c r="C266" s="244">
        <v>43169</v>
      </c>
      <c r="D266" s="245">
        <v>1832</v>
      </c>
      <c r="E266" t="s">
        <v>128</v>
      </c>
      <c r="F266" s="247">
        <v>3200.3990000000003</v>
      </c>
    </row>
    <row r="267" spans="1:6" x14ac:dyDescent="0.25">
      <c r="A267" t="s">
        <v>28</v>
      </c>
      <c r="B267" t="s">
        <v>16</v>
      </c>
      <c r="C267" s="244">
        <v>43169</v>
      </c>
      <c r="D267" s="245">
        <v>1833</v>
      </c>
      <c r="E267" t="s">
        <v>128</v>
      </c>
      <c r="F267" s="247">
        <v>5345.4549999999999</v>
      </c>
    </row>
    <row r="268" spans="1:6" x14ac:dyDescent="0.25">
      <c r="A268" t="s">
        <v>28</v>
      </c>
      <c r="B268" t="s">
        <v>15</v>
      </c>
      <c r="C268" s="244">
        <v>43171</v>
      </c>
      <c r="D268" s="245">
        <v>1834</v>
      </c>
      <c r="E268" t="s">
        <v>128</v>
      </c>
      <c r="F268" s="247">
        <v>17942.392</v>
      </c>
    </row>
    <row r="269" spans="1:6" x14ac:dyDescent="0.25">
      <c r="A269" t="s">
        <v>28</v>
      </c>
      <c r="B269" t="s">
        <v>15</v>
      </c>
      <c r="C269" s="244">
        <v>43173</v>
      </c>
      <c r="D269" s="245">
        <v>1835</v>
      </c>
      <c r="E269" t="s">
        <v>133</v>
      </c>
      <c r="F269" s="247">
        <v>1260</v>
      </c>
    </row>
    <row r="270" spans="1:6" x14ac:dyDescent="0.25">
      <c r="A270" t="s">
        <v>28</v>
      </c>
      <c r="B270" t="s">
        <v>16</v>
      </c>
      <c r="C270" s="244">
        <v>43173</v>
      </c>
      <c r="D270" s="245">
        <v>1835</v>
      </c>
      <c r="E270" t="s">
        <v>133</v>
      </c>
      <c r="F270" s="247">
        <v>2138.183</v>
      </c>
    </row>
    <row r="271" spans="1:6" x14ac:dyDescent="0.25">
      <c r="A271" t="s">
        <v>28</v>
      </c>
      <c r="B271" t="s">
        <v>16</v>
      </c>
      <c r="C271" s="244">
        <v>43174</v>
      </c>
      <c r="D271" s="245">
        <v>1836</v>
      </c>
      <c r="E271" t="s">
        <v>125</v>
      </c>
      <c r="F271" s="247">
        <v>6949.0919999999996</v>
      </c>
    </row>
    <row r="272" spans="1:6" x14ac:dyDescent="0.25">
      <c r="A272" t="s">
        <v>28</v>
      </c>
      <c r="B272" t="s">
        <v>18</v>
      </c>
      <c r="C272" s="244">
        <v>43174</v>
      </c>
      <c r="D272" s="245">
        <v>1836</v>
      </c>
      <c r="E272" t="s">
        <v>125</v>
      </c>
      <c r="F272" s="247">
        <v>1252.6979999999999</v>
      </c>
    </row>
    <row r="273" spans="1:6" x14ac:dyDescent="0.25">
      <c r="A273" t="s">
        <v>28</v>
      </c>
      <c r="B273" t="s">
        <v>16</v>
      </c>
      <c r="C273" s="244">
        <v>43174</v>
      </c>
      <c r="D273" s="245">
        <v>1837</v>
      </c>
      <c r="E273" t="s">
        <v>122</v>
      </c>
      <c r="F273" s="247">
        <v>2138.183</v>
      </c>
    </row>
    <row r="274" spans="1:6" x14ac:dyDescent="0.25">
      <c r="A274" t="s">
        <v>28</v>
      </c>
      <c r="B274" t="s">
        <v>18</v>
      </c>
      <c r="C274" s="244">
        <v>43174</v>
      </c>
      <c r="D274" s="245">
        <v>1837</v>
      </c>
      <c r="E274" t="s">
        <v>122</v>
      </c>
      <c r="F274" s="247">
        <v>613.56700000000001</v>
      </c>
    </row>
    <row r="275" spans="1:6" x14ac:dyDescent="0.25">
      <c r="A275" t="s">
        <v>32</v>
      </c>
      <c r="B275" t="s">
        <v>17</v>
      </c>
      <c r="C275" s="244">
        <v>43176</v>
      </c>
      <c r="D275" s="245">
        <v>1838</v>
      </c>
      <c r="E275" t="s">
        <v>147</v>
      </c>
      <c r="F275" s="247">
        <v>5426.0890000000009</v>
      </c>
    </row>
    <row r="276" spans="1:6" x14ac:dyDescent="0.25">
      <c r="A276" t="s">
        <v>28</v>
      </c>
      <c r="B276" t="s">
        <v>15</v>
      </c>
      <c r="C276" s="244">
        <v>43176</v>
      </c>
      <c r="D276" s="245">
        <v>1839</v>
      </c>
      <c r="E276" t="s">
        <v>128</v>
      </c>
      <c r="F276" s="247">
        <v>9336.6029999999992</v>
      </c>
    </row>
    <row r="277" spans="1:6" x14ac:dyDescent="0.25">
      <c r="A277" t="s">
        <v>28</v>
      </c>
      <c r="B277" t="s">
        <v>15</v>
      </c>
      <c r="C277" s="244">
        <v>43176</v>
      </c>
      <c r="D277" s="245">
        <v>1840</v>
      </c>
      <c r="E277" t="s">
        <v>130</v>
      </c>
      <c r="F277" s="247">
        <v>11768.395999999999</v>
      </c>
    </row>
    <row r="278" spans="1:6" x14ac:dyDescent="0.25">
      <c r="A278" t="s">
        <v>28</v>
      </c>
      <c r="B278" t="s">
        <v>16</v>
      </c>
      <c r="C278" s="244">
        <v>43176</v>
      </c>
      <c r="D278" s="245">
        <v>1841</v>
      </c>
      <c r="E278" t="s">
        <v>130</v>
      </c>
      <c r="F278" s="247">
        <v>427.63600000000002</v>
      </c>
    </row>
    <row r="279" spans="1:6" x14ac:dyDescent="0.25">
      <c r="A279" t="s">
        <v>28</v>
      </c>
      <c r="B279" t="s">
        <v>18</v>
      </c>
      <c r="C279" s="244">
        <v>43176</v>
      </c>
      <c r="D279" s="245">
        <v>1841</v>
      </c>
      <c r="E279" t="s">
        <v>130</v>
      </c>
      <c r="F279" s="247">
        <v>613.56700000000001</v>
      </c>
    </row>
    <row r="280" spans="1:6" x14ac:dyDescent="0.25">
      <c r="A280" t="s">
        <v>28</v>
      </c>
      <c r="B280" t="s">
        <v>15</v>
      </c>
      <c r="C280" s="244">
        <v>43176</v>
      </c>
      <c r="D280" s="245">
        <v>1842</v>
      </c>
      <c r="E280" t="s">
        <v>124</v>
      </c>
      <c r="F280" s="247">
        <v>13940.638999999999</v>
      </c>
    </row>
    <row r="281" spans="1:6" x14ac:dyDescent="0.25">
      <c r="A281" t="s">
        <v>28</v>
      </c>
      <c r="B281" t="s">
        <v>15</v>
      </c>
      <c r="C281" s="244">
        <v>43177</v>
      </c>
      <c r="D281" s="245">
        <v>1843</v>
      </c>
      <c r="E281" t="s">
        <v>129</v>
      </c>
      <c r="F281" s="247">
        <v>4278.9549999999999</v>
      </c>
    </row>
    <row r="282" spans="1:6" x14ac:dyDescent="0.25">
      <c r="A282" t="s">
        <v>28</v>
      </c>
      <c r="B282" t="s">
        <v>17</v>
      </c>
      <c r="C282" s="244">
        <v>43177</v>
      </c>
      <c r="D282" s="245">
        <v>1843</v>
      </c>
      <c r="E282" t="s">
        <v>129</v>
      </c>
      <c r="F282" s="247">
        <v>11401.710000000001</v>
      </c>
    </row>
    <row r="283" spans="1:6" x14ac:dyDescent="0.25">
      <c r="A283" t="s">
        <v>28</v>
      </c>
      <c r="B283" t="s">
        <v>17</v>
      </c>
      <c r="C283" s="244">
        <v>43178</v>
      </c>
      <c r="D283" s="245">
        <v>1844</v>
      </c>
      <c r="E283" t="s">
        <v>128</v>
      </c>
      <c r="F283" s="247">
        <v>9692.2999999999993</v>
      </c>
    </row>
    <row r="284" spans="1:6" x14ac:dyDescent="0.25">
      <c r="A284" t="s">
        <v>28</v>
      </c>
      <c r="B284" t="s">
        <v>15</v>
      </c>
      <c r="C284" s="244">
        <v>43179</v>
      </c>
      <c r="D284" s="245">
        <v>1845</v>
      </c>
      <c r="E284" t="s">
        <v>125</v>
      </c>
      <c r="F284" s="247">
        <v>6655.3209999999999</v>
      </c>
    </row>
    <row r="285" spans="1:6" x14ac:dyDescent="0.25">
      <c r="A285" t="s">
        <v>28</v>
      </c>
      <c r="B285" t="s">
        <v>15</v>
      </c>
      <c r="C285" s="244">
        <v>43179</v>
      </c>
      <c r="D285" s="245">
        <v>1846</v>
      </c>
      <c r="E285" t="s">
        <v>123</v>
      </c>
      <c r="F285" s="247">
        <v>3776.6390000000001</v>
      </c>
    </row>
    <row r="286" spans="1:6" x14ac:dyDescent="0.25">
      <c r="A286" t="s">
        <v>28</v>
      </c>
      <c r="B286" t="s">
        <v>15</v>
      </c>
      <c r="C286" s="244">
        <v>43192</v>
      </c>
      <c r="D286" s="245">
        <v>1847</v>
      </c>
      <c r="E286" t="s">
        <v>132</v>
      </c>
      <c r="F286" s="247">
        <v>4571.2760000000007</v>
      </c>
    </row>
    <row r="287" spans="1:6" x14ac:dyDescent="0.25">
      <c r="A287" t="s">
        <v>28</v>
      </c>
      <c r="B287" t="s">
        <v>17</v>
      </c>
      <c r="C287" s="244">
        <v>43192</v>
      </c>
      <c r="D287" s="245">
        <v>1847</v>
      </c>
      <c r="E287" t="s">
        <v>132</v>
      </c>
      <c r="F287" s="247">
        <v>16282.037999999997</v>
      </c>
    </row>
    <row r="288" spans="1:6" x14ac:dyDescent="0.25">
      <c r="A288" t="s">
        <v>28</v>
      </c>
      <c r="B288" t="s">
        <v>17</v>
      </c>
      <c r="C288" s="244">
        <v>43192</v>
      </c>
      <c r="D288" s="245">
        <v>1848</v>
      </c>
      <c r="E288" t="s">
        <v>130</v>
      </c>
      <c r="F288" s="247">
        <v>18769.218000000001</v>
      </c>
    </row>
    <row r="289" spans="1:6" x14ac:dyDescent="0.25">
      <c r="A289" t="s">
        <v>28</v>
      </c>
      <c r="B289" t="s">
        <v>16</v>
      </c>
      <c r="C289" s="244">
        <v>43192</v>
      </c>
      <c r="D289" s="245">
        <v>1848</v>
      </c>
      <c r="E289" t="s">
        <v>130</v>
      </c>
      <c r="F289" s="247">
        <v>2138.183</v>
      </c>
    </row>
    <row r="290" spans="1:6" x14ac:dyDescent="0.25">
      <c r="A290" t="s">
        <v>28</v>
      </c>
      <c r="B290" t="s">
        <v>18</v>
      </c>
      <c r="C290" s="244">
        <v>43192</v>
      </c>
      <c r="D290" s="245">
        <v>1848</v>
      </c>
      <c r="E290" t="s">
        <v>130</v>
      </c>
      <c r="F290" s="247">
        <v>613.56700000000001</v>
      </c>
    </row>
    <row r="291" spans="1:6" x14ac:dyDescent="0.25">
      <c r="A291" t="s">
        <v>28</v>
      </c>
      <c r="B291" t="s">
        <v>15</v>
      </c>
      <c r="C291" s="244">
        <v>43192</v>
      </c>
      <c r="D291" s="245">
        <v>1849</v>
      </c>
      <c r="E291" t="s">
        <v>130</v>
      </c>
      <c r="F291" s="247">
        <v>15563.519</v>
      </c>
    </row>
    <row r="292" spans="1:6" x14ac:dyDescent="0.25">
      <c r="A292" t="s">
        <v>28</v>
      </c>
      <c r="B292" t="s">
        <v>15</v>
      </c>
      <c r="C292" s="244">
        <v>43192</v>
      </c>
      <c r="D292" s="245">
        <v>1850</v>
      </c>
      <c r="E292" t="s">
        <v>133</v>
      </c>
      <c r="F292" s="247">
        <v>2131.9209999999998</v>
      </c>
    </row>
    <row r="293" spans="1:6" x14ac:dyDescent="0.25">
      <c r="A293" t="s">
        <v>28</v>
      </c>
      <c r="B293" t="s">
        <v>17</v>
      </c>
      <c r="C293" s="244">
        <v>43192</v>
      </c>
      <c r="D293" s="245">
        <v>1850</v>
      </c>
      <c r="E293" t="s">
        <v>133</v>
      </c>
      <c r="F293" s="247">
        <v>9153.8310000000001</v>
      </c>
    </row>
    <row r="294" spans="1:6" x14ac:dyDescent="0.25">
      <c r="A294" t="s">
        <v>28</v>
      </c>
      <c r="B294" t="s">
        <v>15</v>
      </c>
      <c r="C294" s="244">
        <v>43193</v>
      </c>
      <c r="D294" s="245">
        <v>1851</v>
      </c>
      <c r="E294" t="s">
        <v>131</v>
      </c>
      <c r="F294" s="247">
        <v>1260</v>
      </c>
    </row>
    <row r="295" spans="1:6" x14ac:dyDescent="0.25">
      <c r="A295" t="s">
        <v>28</v>
      </c>
      <c r="B295" t="s">
        <v>17</v>
      </c>
      <c r="C295" s="244">
        <v>43193</v>
      </c>
      <c r="D295" s="245">
        <v>1851</v>
      </c>
      <c r="E295" t="s">
        <v>131</v>
      </c>
      <c r="F295" s="247">
        <v>10205.119000000001</v>
      </c>
    </row>
    <row r="296" spans="1:6" x14ac:dyDescent="0.25">
      <c r="A296" t="s">
        <v>28</v>
      </c>
      <c r="B296" t="s">
        <v>16</v>
      </c>
      <c r="C296" s="244">
        <v>43193</v>
      </c>
      <c r="D296" s="245">
        <v>1851</v>
      </c>
      <c r="E296" t="s">
        <v>131</v>
      </c>
      <c r="F296" s="247">
        <v>2138.183</v>
      </c>
    </row>
    <row r="297" spans="1:6" x14ac:dyDescent="0.25">
      <c r="A297" t="s">
        <v>28</v>
      </c>
      <c r="B297" t="s">
        <v>18</v>
      </c>
      <c r="C297" s="244">
        <v>43193</v>
      </c>
      <c r="D297" s="245">
        <v>1851</v>
      </c>
      <c r="E297" t="s">
        <v>131</v>
      </c>
      <c r="F297" s="247">
        <v>1227.135</v>
      </c>
    </row>
    <row r="298" spans="1:6" x14ac:dyDescent="0.25">
      <c r="A298" t="s">
        <v>28</v>
      </c>
      <c r="B298" t="s">
        <v>17</v>
      </c>
      <c r="C298" s="244">
        <v>43193</v>
      </c>
      <c r="D298" s="245">
        <v>1852</v>
      </c>
      <c r="E298" t="s">
        <v>121</v>
      </c>
      <c r="F298" s="247">
        <v>8435.8950000000004</v>
      </c>
    </row>
    <row r="299" spans="1:6" x14ac:dyDescent="0.25">
      <c r="A299" t="s">
        <v>28</v>
      </c>
      <c r="B299" t="s">
        <v>16</v>
      </c>
      <c r="C299" s="244">
        <v>43193</v>
      </c>
      <c r="D299" s="245">
        <v>1852</v>
      </c>
      <c r="E299" t="s">
        <v>121</v>
      </c>
      <c r="F299" s="247">
        <v>3207.2730000000001</v>
      </c>
    </row>
    <row r="300" spans="1:6" x14ac:dyDescent="0.25">
      <c r="A300" t="s">
        <v>28</v>
      </c>
      <c r="B300" t="s">
        <v>15</v>
      </c>
      <c r="C300" s="244">
        <v>43193</v>
      </c>
      <c r="D300" s="245">
        <v>1853</v>
      </c>
      <c r="E300" t="s">
        <v>124</v>
      </c>
      <c r="F300" s="247">
        <v>3485.1610000000001</v>
      </c>
    </row>
    <row r="301" spans="1:6" x14ac:dyDescent="0.25">
      <c r="A301" t="s">
        <v>28</v>
      </c>
      <c r="B301" t="s">
        <v>17</v>
      </c>
      <c r="C301" s="244">
        <v>43193</v>
      </c>
      <c r="D301" s="245">
        <v>1853</v>
      </c>
      <c r="E301" t="s">
        <v>124</v>
      </c>
      <c r="F301" s="247">
        <v>15230.75</v>
      </c>
    </row>
    <row r="302" spans="1:6" x14ac:dyDescent="0.25">
      <c r="A302" t="s">
        <v>28</v>
      </c>
      <c r="B302" t="s">
        <v>16</v>
      </c>
      <c r="C302" s="244">
        <v>43193</v>
      </c>
      <c r="D302" s="245">
        <v>1853</v>
      </c>
      <c r="E302" t="s">
        <v>124</v>
      </c>
      <c r="F302" s="247">
        <v>8018.1819999999998</v>
      </c>
    </row>
    <row r="303" spans="1:6" x14ac:dyDescent="0.25">
      <c r="A303" t="s">
        <v>28</v>
      </c>
      <c r="B303" t="s">
        <v>18</v>
      </c>
      <c r="C303" s="244">
        <v>43193</v>
      </c>
      <c r="D303" s="245">
        <v>1853</v>
      </c>
      <c r="E303" t="s">
        <v>124</v>
      </c>
      <c r="F303" s="247">
        <v>613.56700000000001</v>
      </c>
    </row>
    <row r="304" spans="1:6" x14ac:dyDescent="0.25">
      <c r="A304" t="s">
        <v>28</v>
      </c>
      <c r="B304" t="s">
        <v>190</v>
      </c>
      <c r="C304" s="244">
        <v>43193</v>
      </c>
      <c r="D304" s="245">
        <v>1853</v>
      </c>
      <c r="E304" t="s">
        <v>124</v>
      </c>
      <c r="F304" s="247">
        <v>1034.482</v>
      </c>
    </row>
    <row r="305" spans="1:6" x14ac:dyDescent="0.25">
      <c r="A305" t="s">
        <v>28</v>
      </c>
      <c r="B305" t="s">
        <v>191</v>
      </c>
      <c r="C305" s="244">
        <v>43193</v>
      </c>
      <c r="D305" s="245">
        <v>1853</v>
      </c>
      <c r="E305" t="s">
        <v>124</v>
      </c>
      <c r="F305" s="247">
        <v>1387.44</v>
      </c>
    </row>
    <row r="306" spans="1:6" x14ac:dyDescent="0.25">
      <c r="A306" t="s">
        <v>28</v>
      </c>
      <c r="B306" t="s">
        <v>15</v>
      </c>
      <c r="C306" s="244">
        <v>43194</v>
      </c>
      <c r="D306" s="245">
        <v>1854</v>
      </c>
      <c r="E306" t="s">
        <v>130</v>
      </c>
      <c r="F306" s="247">
        <v>10372.321</v>
      </c>
    </row>
    <row r="307" spans="1:6" x14ac:dyDescent="0.25">
      <c r="A307" t="s">
        <v>28</v>
      </c>
      <c r="B307" t="s">
        <v>16</v>
      </c>
      <c r="C307" s="244">
        <v>43194</v>
      </c>
      <c r="D307" s="245">
        <v>1855</v>
      </c>
      <c r="E307" t="s">
        <v>132</v>
      </c>
      <c r="F307" s="247">
        <v>3207.2730000000001</v>
      </c>
    </row>
    <row r="308" spans="1:6" x14ac:dyDescent="0.25">
      <c r="A308" t="s">
        <v>28</v>
      </c>
      <c r="B308" t="s">
        <v>18</v>
      </c>
      <c r="C308" s="244">
        <v>43194</v>
      </c>
      <c r="D308" s="245">
        <v>1855</v>
      </c>
      <c r="E308" t="s">
        <v>132</v>
      </c>
      <c r="F308" s="247">
        <v>409.04500000000002</v>
      </c>
    </row>
    <row r="309" spans="1:6" x14ac:dyDescent="0.25">
      <c r="A309" t="s">
        <v>28</v>
      </c>
      <c r="B309" t="s">
        <v>190</v>
      </c>
      <c r="C309" s="244">
        <v>43194</v>
      </c>
      <c r="D309" s="245">
        <v>1855</v>
      </c>
      <c r="E309" t="s">
        <v>132</v>
      </c>
      <c r="F309" s="247">
        <v>641.37900000000002</v>
      </c>
    </row>
    <row r="310" spans="1:6" x14ac:dyDescent="0.25">
      <c r="A310" t="s">
        <v>28</v>
      </c>
      <c r="B310" t="s">
        <v>16</v>
      </c>
      <c r="C310" s="244">
        <v>43194</v>
      </c>
      <c r="D310" s="245">
        <v>1856</v>
      </c>
      <c r="E310" t="s">
        <v>125</v>
      </c>
      <c r="F310" s="247">
        <v>5879.9989999999998</v>
      </c>
    </row>
    <row r="311" spans="1:6" x14ac:dyDescent="0.25">
      <c r="A311" t="s">
        <v>28</v>
      </c>
      <c r="B311" t="s">
        <v>18</v>
      </c>
      <c r="C311" s="244">
        <v>43194</v>
      </c>
      <c r="D311" s="245">
        <v>1856</v>
      </c>
      <c r="E311" t="s">
        <v>125</v>
      </c>
      <c r="F311" s="247">
        <v>613.56700000000001</v>
      </c>
    </row>
    <row r="312" spans="1:6" x14ac:dyDescent="0.25">
      <c r="A312" t="s">
        <v>32</v>
      </c>
      <c r="B312" t="s">
        <v>17</v>
      </c>
      <c r="C312" s="244">
        <v>43194</v>
      </c>
      <c r="D312" s="245">
        <v>1857</v>
      </c>
      <c r="E312" t="s">
        <v>138</v>
      </c>
      <c r="F312" s="247">
        <v>7730.4380000000001</v>
      </c>
    </row>
    <row r="313" spans="1:6" x14ac:dyDescent="0.25">
      <c r="A313" t="s">
        <v>28</v>
      </c>
      <c r="B313" t="s">
        <v>15</v>
      </c>
      <c r="C313" s="244">
        <v>43194</v>
      </c>
      <c r="D313" s="245">
        <v>1858</v>
      </c>
      <c r="E313" t="s">
        <v>124</v>
      </c>
      <c r="F313" s="247">
        <v>9611.2739999999994</v>
      </c>
    </row>
    <row r="314" spans="1:6" x14ac:dyDescent="0.25">
      <c r="A314" t="s">
        <v>28</v>
      </c>
      <c r="B314" t="s">
        <v>15</v>
      </c>
      <c r="C314" s="244">
        <v>43195</v>
      </c>
      <c r="D314" s="245">
        <v>1859</v>
      </c>
      <c r="E314" t="s">
        <v>129</v>
      </c>
      <c r="F314" s="247">
        <v>18658.07</v>
      </c>
    </row>
    <row r="315" spans="1:6" x14ac:dyDescent="0.25">
      <c r="A315" t="s">
        <v>28</v>
      </c>
      <c r="B315" t="s">
        <v>17</v>
      </c>
      <c r="C315" s="244">
        <v>43195</v>
      </c>
      <c r="D315" s="245">
        <v>1859</v>
      </c>
      <c r="E315" t="s">
        <v>129</v>
      </c>
      <c r="F315" s="247">
        <v>6277.7679999999991</v>
      </c>
    </row>
    <row r="316" spans="1:6" x14ac:dyDescent="0.25">
      <c r="A316" t="s">
        <v>28</v>
      </c>
      <c r="B316" t="s">
        <v>16</v>
      </c>
      <c r="C316" s="244">
        <v>43195</v>
      </c>
      <c r="D316" s="245">
        <v>1859</v>
      </c>
      <c r="E316" t="s">
        <v>129</v>
      </c>
      <c r="F316" s="247">
        <v>6414.5479999999998</v>
      </c>
    </row>
    <row r="317" spans="1:6" x14ac:dyDescent="0.25">
      <c r="A317" t="s">
        <v>28</v>
      </c>
      <c r="B317" t="s">
        <v>18</v>
      </c>
      <c r="C317" s="244">
        <v>43195</v>
      </c>
      <c r="D317" s="245">
        <v>1859</v>
      </c>
      <c r="E317" t="s">
        <v>129</v>
      </c>
      <c r="F317" s="247">
        <v>971.48099999999999</v>
      </c>
    </row>
    <row r="318" spans="1:6" x14ac:dyDescent="0.25">
      <c r="A318" t="s">
        <v>28</v>
      </c>
      <c r="B318" t="s">
        <v>190</v>
      </c>
      <c r="C318" s="244">
        <v>43195</v>
      </c>
      <c r="D318" s="245">
        <v>1859</v>
      </c>
      <c r="E318" t="s">
        <v>129</v>
      </c>
      <c r="F318" s="247">
        <v>1117.24</v>
      </c>
    </row>
    <row r="319" spans="1:6" x14ac:dyDescent="0.25">
      <c r="A319" t="s">
        <v>28</v>
      </c>
      <c r="B319" t="s">
        <v>15</v>
      </c>
      <c r="C319" s="244">
        <v>43195</v>
      </c>
      <c r="D319" s="245">
        <v>1860</v>
      </c>
      <c r="E319" t="s">
        <v>128</v>
      </c>
      <c r="F319" s="247">
        <v>19283.037999999997</v>
      </c>
    </row>
    <row r="320" spans="1:6" x14ac:dyDescent="0.25">
      <c r="A320" t="s">
        <v>28</v>
      </c>
      <c r="B320" t="s">
        <v>15</v>
      </c>
      <c r="C320" s="244">
        <v>43195</v>
      </c>
      <c r="D320" s="245">
        <v>1861</v>
      </c>
      <c r="E320" t="s">
        <v>128</v>
      </c>
      <c r="F320" s="247">
        <v>1915.2</v>
      </c>
    </row>
    <row r="321" spans="1:6" x14ac:dyDescent="0.25">
      <c r="A321" t="s">
        <v>28</v>
      </c>
      <c r="B321" t="s">
        <v>17</v>
      </c>
      <c r="C321" s="244">
        <v>43195</v>
      </c>
      <c r="D321" s="245">
        <v>1861</v>
      </c>
      <c r="E321" t="s">
        <v>128</v>
      </c>
      <c r="F321" s="247">
        <v>14205.108</v>
      </c>
    </row>
    <row r="322" spans="1:6" x14ac:dyDescent="0.25">
      <c r="A322" t="s">
        <v>28</v>
      </c>
      <c r="B322" t="s">
        <v>16</v>
      </c>
      <c r="C322" s="244">
        <v>43195</v>
      </c>
      <c r="D322" s="245">
        <v>1861</v>
      </c>
      <c r="E322" t="s">
        <v>128</v>
      </c>
      <c r="F322" s="247">
        <v>5345.4549999999999</v>
      </c>
    </row>
    <row r="323" spans="1:6" x14ac:dyDescent="0.25">
      <c r="A323" t="s">
        <v>28</v>
      </c>
      <c r="B323" t="s">
        <v>18</v>
      </c>
      <c r="C323" s="244">
        <v>43195</v>
      </c>
      <c r="D323" s="245">
        <v>1861</v>
      </c>
      <c r="E323" t="s">
        <v>128</v>
      </c>
      <c r="F323" s="247">
        <v>1051.585</v>
      </c>
    </row>
    <row r="324" spans="1:6" x14ac:dyDescent="0.25">
      <c r="A324" t="s">
        <v>28</v>
      </c>
      <c r="B324" t="s">
        <v>190</v>
      </c>
      <c r="C324" s="244">
        <v>43195</v>
      </c>
      <c r="D324" s="245">
        <v>1861</v>
      </c>
      <c r="E324" t="s">
        <v>128</v>
      </c>
      <c r="F324" s="247">
        <v>1799.999</v>
      </c>
    </row>
    <row r="325" spans="1:6" x14ac:dyDescent="0.25">
      <c r="A325" t="s">
        <v>28</v>
      </c>
      <c r="B325" t="s">
        <v>15</v>
      </c>
      <c r="C325" s="244">
        <v>43196</v>
      </c>
      <c r="D325" s="245">
        <v>1862</v>
      </c>
      <c r="E325" t="s">
        <v>126</v>
      </c>
      <c r="F325" s="247">
        <v>2536.8000000000002</v>
      </c>
    </row>
    <row r="326" spans="1:6" x14ac:dyDescent="0.25">
      <c r="A326" t="s">
        <v>28</v>
      </c>
      <c r="B326" t="s">
        <v>17</v>
      </c>
      <c r="C326" s="244">
        <v>43196</v>
      </c>
      <c r="D326" s="245">
        <v>1862</v>
      </c>
      <c r="E326" t="s">
        <v>126</v>
      </c>
      <c r="F326" s="247">
        <v>13931.626999999999</v>
      </c>
    </row>
    <row r="327" spans="1:6" x14ac:dyDescent="0.25">
      <c r="A327" t="s">
        <v>28</v>
      </c>
      <c r="B327" t="s">
        <v>16</v>
      </c>
      <c r="C327" s="244">
        <v>43196</v>
      </c>
      <c r="D327" s="245">
        <v>1862</v>
      </c>
      <c r="E327" t="s">
        <v>126</v>
      </c>
      <c r="F327" s="247">
        <v>3207.2730000000001</v>
      </c>
    </row>
    <row r="328" spans="1:6" x14ac:dyDescent="0.25">
      <c r="A328" t="s">
        <v>28</v>
      </c>
      <c r="B328" t="s">
        <v>15</v>
      </c>
      <c r="C328" s="244">
        <v>43196</v>
      </c>
      <c r="D328" s="245">
        <v>1863</v>
      </c>
      <c r="E328" t="s">
        <v>123</v>
      </c>
      <c r="F328" s="247">
        <v>9975.8410000000003</v>
      </c>
    </row>
    <row r="329" spans="1:6" x14ac:dyDescent="0.25">
      <c r="A329" t="s">
        <v>28</v>
      </c>
      <c r="B329" t="s">
        <v>17</v>
      </c>
      <c r="C329" s="244">
        <v>43196</v>
      </c>
      <c r="D329" s="245">
        <v>1863</v>
      </c>
      <c r="E329" t="s">
        <v>123</v>
      </c>
      <c r="F329" s="247">
        <v>12269.217000000001</v>
      </c>
    </row>
    <row r="330" spans="1:6" x14ac:dyDescent="0.25">
      <c r="A330" t="s">
        <v>28</v>
      </c>
      <c r="B330" t="s">
        <v>16</v>
      </c>
      <c r="C330" s="244">
        <v>43196</v>
      </c>
      <c r="D330" s="245">
        <v>1863</v>
      </c>
      <c r="E330" t="s">
        <v>123</v>
      </c>
      <c r="F330" s="247">
        <v>2138.183</v>
      </c>
    </row>
    <row r="331" spans="1:6" x14ac:dyDescent="0.25">
      <c r="A331" t="s">
        <v>28</v>
      </c>
      <c r="B331" t="s">
        <v>18</v>
      </c>
      <c r="C331" s="244">
        <v>43196</v>
      </c>
      <c r="D331" s="245">
        <v>1863</v>
      </c>
      <c r="E331" t="s">
        <v>123</v>
      </c>
      <c r="F331" s="247">
        <v>506.19200000000001</v>
      </c>
    </row>
    <row r="332" spans="1:6" x14ac:dyDescent="0.25">
      <c r="A332" t="s">
        <v>28</v>
      </c>
      <c r="B332" t="s">
        <v>190</v>
      </c>
      <c r="C332" s="244">
        <v>43196</v>
      </c>
      <c r="D332" s="245">
        <v>1863</v>
      </c>
      <c r="E332" t="s">
        <v>123</v>
      </c>
      <c r="F332" s="247">
        <v>1372.414</v>
      </c>
    </row>
    <row r="333" spans="1:6" x14ac:dyDescent="0.25">
      <c r="A333" t="s">
        <v>28</v>
      </c>
      <c r="B333" t="s">
        <v>191</v>
      </c>
      <c r="C333" s="244">
        <v>43196</v>
      </c>
      <c r="D333" s="245">
        <v>1863</v>
      </c>
      <c r="E333" t="s">
        <v>123</v>
      </c>
      <c r="F333" s="247">
        <v>1730.1999999999998</v>
      </c>
    </row>
    <row r="334" spans="1:6" x14ac:dyDescent="0.25">
      <c r="A334" t="s">
        <v>28</v>
      </c>
      <c r="B334" t="s">
        <v>17</v>
      </c>
      <c r="C334" s="244">
        <v>43196</v>
      </c>
      <c r="D334" s="245">
        <v>1864</v>
      </c>
      <c r="E334" t="s">
        <v>123</v>
      </c>
      <c r="F334" s="247">
        <v>2769.2370000000001</v>
      </c>
    </row>
    <row r="335" spans="1:6" x14ac:dyDescent="0.25">
      <c r="A335" t="s">
        <v>28</v>
      </c>
      <c r="B335" t="s">
        <v>17</v>
      </c>
      <c r="C335" s="244">
        <v>43196</v>
      </c>
      <c r="D335" s="245">
        <v>1865</v>
      </c>
      <c r="E335" t="s">
        <v>126</v>
      </c>
      <c r="F335" s="247">
        <v>3897.4320000000002</v>
      </c>
    </row>
    <row r="336" spans="1:6" x14ac:dyDescent="0.25">
      <c r="A336" t="s">
        <v>28</v>
      </c>
      <c r="B336" t="s">
        <v>17</v>
      </c>
      <c r="C336" s="244">
        <v>43198</v>
      </c>
      <c r="D336" s="245">
        <v>1866</v>
      </c>
      <c r="E336" t="s">
        <v>122</v>
      </c>
      <c r="F336" s="247">
        <v>4102.5590000000002</v>
      </c>
    </row>
    <row r="337" spans="1:6" x14ac:dyDescent="0.25">
      <c r="A337" t="s">
        <v>28</v>
      </c>
      <c r="B337" t="s">
        <v>17</v>
      </c>
      <c r="C337" s="244">
        <v>43197</v>
      </c>
      <c r="D337" s="245">
        <v>1866</v>
      </c>
      <c r="E337" t="s">
        <v>122</v>
      </c>
      <c r="F337" s="247">
        <v>4102.5590000000002</v>
      </c>
    </row>
    <row r="338" spans="1:6" x14ac:dyDescent="0.25">
      <c r="A338" t="s">
        <v>28</v>
      </c>
      <c r="B338" t="s">
        <v>17</v>
      </c>
      <c r="C338" s="244">
        <v>43198</v>
      </c>
      <c r="D338" s="245">
        <v>1867</v>
      </c>
      <c r="E338" t="s">
        <v>124</v>
      </c>
      <c r="F338" s="247">
        <v>6564.0859999999993</v>
      </c>
    </row>
    <row r="339" spans="1:6" x14ac:dyDescent="0.25">
      <c r="A339" t="s">
        <v>28</v>
      </c>
      <c r="B339" t="s">
        <v>17</v>
      </c>
      <c r="C339" s="244">
        <v>43197</v>
      </c>
      <c r="D339" s="245">
        <v>1867</v>
      </c>
      <c r="E339" t="s">
        <v>124</v>
      </c>
      <c r="F339" s="247">
        <v>6564.0859999999993</v>
      </c>
    </row>
    <row r="340" spans="1:6" x14ac:dyDescent="0.25">
      <c r="A340" t="s">
        <v>28</v>
      </c>
      <c r="B340" t="s">
        <v>15</v>
      </c>
      <c r="C340" s="244">
        <v>43197</v>
      </c>
      <c r="D340" s="245">
        <v>1868</v>
      </c>
      <c r="E340" t="s">
        <v>125</v>
      </c>
      <c r="F340" s="247">
        <v>13866.722</v>
      </c>
    </row>
    <row r="341" spans="1:6" x14ac:dyDescent="0.25">
      <c r="A341" t="s">
        <v>28</v>
      </c>
      <c r="B341" t="s">
        <v>17</v>
      </c>
      <c r="C341" s="244">
        <v>43197</v>
      </c>
      <c r="D341" s="245">
        <v>1868</v>
      </c>
      <c r="E341" t="s">
        <v>125</v>
      </c>
      <c r="F341" s="247">
        <v>4102.5630000000001</v>
      </c>
    </row>
    <row r="342" spans="1:6" x14ac:dyDescent="0.25">
      <c r="A342" t="s">
        <v>28</v>
      </c>
      <c r="B342" t="s">
        <v>15</v>
      </c>
      <c r="C342" s="244">
        <v>43199</v>
      </c>
      <c r="D342" s="245">
        <v>1869</v>
      </c>
      <c r="E342" t="s">
        <v>130</v>
      </c>
      <c r="F342" s="247">
        <v>10005.032999999999</v>
      </c>
    </row>
    <row r="343" spans="1:6" x14ac:dyDescent="0.25">
      <c r="A343" t="s">
        <v>28</v>
      </c>
      <c r="B343" t="s">
        <v>15</v>
      </c>
      <c r="C343" s="244">
        <v>43200</v>
      </c>
      <c r="D343" s="245">
        <v>1870</v>
      </c>
      <c r="E343" t="s">
        <v>128</v>
      </c>
      <c r="F343" s="247">
        <v>14993.996999999999</v>
      </c>
    </row>
    <row r="344" spans="1:6" x14ac:dyDescent="0.25">
      <c r="A344" t="s">
        <v>28</v>
      </c>
      <c r="B344" t="s">
        <v>16</v>
      </c>
      <c r="C344" s="244">
        <v>43200</v>
      </c>
      <c r="D344" s="245">
        <v>1870</v>
      </c>
      <c r="E344" t="s">
        <v>128</v>
      </c>
      <c r="F344" s="247">
        <v>3741.819</v>
      </c>
    </row>
    <row r="345" spans="1:6" x14ac:dyDescent="0.25">
      <c r="A345" t="s">
        <v>28</v>
      </c>
      <c r="B345" t="s">
        <v>17</v>
      </c>
      <c r="C345" s="244">
        <v>43200</v>
      </c>
      <c r="D345" s="245">
        <v>1871</v>
      </c>
      <c r="E345" t="s">
        <v>134</v>
      </c>
      <c r="F345" s="247">
        <v>4166.6639999999998</v>
      </c>
    </row>
    <row r="346" spans="1:6" x14ac:dyDescent="0.25">
      <c r="A346" t="s">
        <v>28</v>
      </c>
      <c r="B346" t="s">
        <v>16</v>
      </c>
      <c r="C346" s="244">
        <v>43201</v>
      </c>
      <c r="D346" s="245">
        <v>1872</v>
      </c>
      <c r="E346" t="s">
        <v>130</v>
      </c>
      <c r="F346" s="247">
        <v>427.63600000000002</v>
      </c>
    </row>
    <row r="347" spans="1:6" x14ac:dyDescent="0.25">
      <c r="A347" t="s">
        <v>28</v>
      </c>
      <c r="B347" t="s">
        <v>18</v>
      </c>
      <c r="C347" s="244">
        <v>43201</v>
      </c>
      <c r="D347" s="245">
        <v>1872</v>
      </c>
      <c r="E347" t="s">
        <v>130</v>
      </c>
      <c r="F347" s="247">
        <v>1012.384</v>
      </c>
    </row>
    <row r="348" spans="1:6" x14ac:dyDescent="0.25">
      <c r="A348" t="s">
        <v>28</v>
      </c>
      <c r="B348" t="s">
        <v>190</v>
      </c>
      <c r="C348" s="244">
        <v>43201</v>
      </c>
      <c r="D348" s="245">
        <v>1872</v>
      </c>
      <c r="E348" t="s">
        <v>130</v>
      </c>
      <c r="F348" s="247">
        <v>1034.482</v>
      </c>
    </row>
    <row r="349" spans="1:6" x14ac:dyDescent="0.25">
      <c r="A349" t="s">
        <v>28</v>
      </c>
      <c r="B349" t="s">
        <v>191</v>
      </c>
      <c r="C349" s="244">
        <v>43201</v>
      </c>
      <c r="D349" s="245">
        <v>1872</v>
      </c>
      <c r="E349" t="s">
        <v>130</v>
      </c>
      <c r="F349" s="247">
        <v>5144.1589999999997</v>
      </c>
    </row>
    <row r="350" spans="1:6" x14ac:dyDescent="0.25">
      <c r="A350" t="s">
        <v>28</v>
      </c>
      <c r="B350" t="s">
        <v>191</v>
      </c>
      <c r="C350" s="244">
        <v>43202</v>
      </c>
      <c r="D350" s="245">
        <v>1873</v>
      </c>
      <c r="E350" t="s">
        <v>128</v>
      </c>
      <c r="F350" s="247">
        <v>9304.478000000001</v>
      </c>
    </row>
    <row r="351" spans="1:6" x14ac:dyDescent="0.25">
      <c r="A351" t="s">
        <v>28</v>
      </c>
      <c r="B351" t="s">
        <v>18</v>
      </c>
      <c r="C351" s="244">
        <v>43202</v>
      </c>
      <c r="D351" s="245">
        <v>1873</v>
      </c>
      <c r="E351" t="s">
        <v>128</v>
      </c>
      <c r="F351" s="247">
        <v>426.08800000000002</v>
      </c>
    </row>
    <row r="352" spans="1:6" x14ac:dyDescent="0.25">
      <c r="A352" t="s">
        <v>28</v>
      </c>
      <c r="B352" t="s">
        <v>191</v>
      </c>
      <c r="C352" s="244">
        <v>43202</v>
      </c>
      <c r="D352" s="245">
        <v>1873</v>
      </c>
      <c r="E352" t="s">
        <v>128</v>
      </c>
      <c r="F352" s="247">
        <v>9304.478000000001</v>
      </c>
    </row>
    <row r="353" spans="1:6" x14ac:dyDescent="0.25">
      <c r="A353" t="s">
        <v>28</v>
      </c>
      <c r="B353" t="s">
        <v>15</v>
      </c>
      <c r="C353" s="244">
        <v>43202</v>
      </c>
      <c r="D353" s="245">
        <v>1874</v>
      </c>
      <c r="E353" t="s">
        <v>132</v>
      </c>
      <c r="F353" s="247">
        <v>9601.1949999999997</v>
      </c>
    </row>
    <row r="354" spans="1:6" x14ac:dyDescent="0.25">
      <c r="A354" t="s">
        <v>28</v>
      </c>
      <c r="B354" t="s">
        <v>191</v>
      </c>
      <c r="C354" s="244">
        <v>43202</v>
      </c>
      <c r="D354" s="245">
        <v>1875</v>
      </c>
      <c r="E354" t="s">
        <v>132</v>
      </c>
      <c r="F354" s="247">
        <v>4850.5789999999997</v>
      </c>
    </row>
    <row r="355" spans="1:6" x14ac:dyDescent="0.25">
      <c r="A355" t="s">
        <v>28</v>
      </c>
      <c r="B355" t="s">
        <v>16</v>
      </c>
      <c r="C355" s="244">
        <v>43203</v>
      </c>
      <c r="D355" s="245">
        <v>1876</v>
      </c>
      <c r="E355" t="s">
        <v>122</v>
      </c>
      <c r="F355" s="247">
        <v>3207.2759999999998</v>
      </c>
    </row>
    <row r="356" spans="1:6" x14ac:dyDescent="0.25">
      <c r="A356" t="s">
        <v>28</v>
      </c>
      <c r="B356" t="s">
        <v>18</v>
      </c>
      <c r="C356" s="244">
        <v>43203</v>
      </c>
      <c r="D356" s="245">
        <v>1876</v>
      </c>
      <c r="E356" t="s">
        <v>122</v>
      </c>
      <c r="F356" s="247">
        <v>506.19200000000001</v>
      </c>
    </row>
    <row r="357" spans="1:6" x14ac:dyDescent="0.25">
      <c r="A357" t="s">
        <v>28</v>
      </c>
      <c r="B357" t="s">
        <v>190</v>
      </c>
      <c r="C357" s="244">
        <v>43203</v>
      </c>
      <c r="D357" s="245">
        <v>1876</v>
      </c>
      <c r="E357" t="s">
        <v>122</v>
      </c>
      <c r="F357" s="247">
        <v>1200.001</v>
      </c>
    </row>
    <row r="358" spans="1:6" x14ac:dyDescent="0.25">
      <c r="A358" t="s">
        <v>28</v>
      </c>
      <c r="B358" t="s">
        <v>16</v>
      </c>
      <c r="C358" s="244">
        <v>43205</v>
      </c>
      <c r="D358" s="245">
        <v>1877</v>
      </c>
      <c r="E358" t="s">
        <v>123</v>
      </c>
      <c r="F358" s="247">
        <v>6949.0920000000006</v>
      </c>
    </row>
    <row r="359" spans="1:6" x14ac:dyDescent="0.25">
      <c r="A359" t="s">
        <v>28</v>
      </c>
      <c r="B359" t="s">
        <v>191</v>
      </c>
      <c r="C359" s="244">
        <v>43205</v>
      </c>
      <c r="D359" s="245">
        <v>1877</v>
      </c>
      <c r="E359" t="s">
        <v>123</v>
      </c>
      <c r="F359" s="247">
        <v>3764.9580000000001</v>
      </c>
    </row>
    <row r="360" spans="1:6" x14ac:dyDescent="0.25">
      <c r="A360" t="s">
        <v>28</v>
      </c>
      <c r="B360" t="s">
        <v>16</v>
      </c>
      <c r="C360" s="244">
        <v>43203</v>
      </c>
      <c r="D360" s="245">
        <v>1877</v>
      </c>
      <c r="E360" t="s">
        <v>123</v>
      </c>
      <c r="F360" s="247">
        <v>6949.0920000000006</v>
      </c>
    </row>
    <row r="361" spans="1:6" x14ac:dyDescent="0.25">
      <c r="A361" t="s">
        <v>28</v>
      </c>
      <c r="B361" t="s">
        <v>191</v>
      </c>
      <c r="C361" s="244">
        <v>43203</v>
      </c>
      <c r="D361" s="245">
        <v>1877</v>
      </c>
      <c r="E361" t="s">
        <v>123</v>
      </c>
      <c r="F361" s="247">
        <v>3764.9580000000001</v>
      </c>
    </row>
    <row r="362" spans="1:6" x14ac:dyDescent="0.25">
      <c r="A362" t="s">
        <v>28</v>
      </c>
      <c r="B362" t="s">
        <v>191</v>
      </c>
      <c r="C362" s="244">
        <v>43205</v>
      </c>
      <c r="D362" s="245">
        <v>1878</v>
      </c>
      <c r="E362" t="s">
        <v>124</v>
      </c>
      <c r="F362" s="247">
        <v>2492.8000000000002</v>
      </c>
    </row>
    <row r="363" spans="1:6" x14ac:dyDescent="0.25">
      <c r="A363" t="s">
        <v>28</v>
      </c>
      <c r="B363" t="s">
        <v>191</v>
      </c>
      <c r="C363" s="244">
        <v>43203</v>
      </c>
      <c r="D363" s="245">
        <v>1878</v>
      </c>
      <c r="E363" t="s">
        <v>124</v>
      </c>
      <c r="F363" s="247">
        <v>2492.8000000000002</v>
      </c>
    </row>
    <row r="364" spans="1:6" x14ac:dyDescent="0.25">
      <c r="A364" t="s">
        <v>28</v>
      </c>
      <c r="B364" t="s">
        <v>18</v>
      </c>
      <c r="C364" s="244">
        <v>43203</v>
      </c>
      <c r="D364" s="245">
        <v>1879</v>
      </c>
      <c r="E364" t="s">
        <v>129</v>
      </c>
      <c r="F364" s="247">
        <v>426.08800000000002</v>
      </c>
    </row>
    <row r="365" spans="1:6" x14ac:dyDescent="0.25">
      <c r="A365" t="s">
        <v>28</v>
      </c>
      <c r="B365" t="s">
        <v>191</v>
      </c>
      <c r="C365" s="244">
        <v>43203</v>
      </c>
      <c r="D365" s="245">
        <v>1879</v>
      </c>
      <c r="E365" t="s">
        <v>129</v>
      </c>
      <c r="F365" s="247">
        <v>7061.277000000001</v>
      </c>
    </row>
    <row r="366" spans="1:6" x14ac:dyDescent="0.25">
      <c r="A366" t="s">
        <v>28</v>
      </c>
      <c r="B366" t="s">
        <v>15</v>
      </c>
      <c r="C366" s="244">
        <v>43206</v>
      </c>
      <c r="D366" s="245">
        <v>1880</v>
      </c>
      <c r="E366" t="s">
        <v>130</v>
      </c>
      <c r="F366" s="247">
        <v>16267.442000000003</v>
      </c>
    </row>
    <row r="367" spans="1:6" x14ac:dyDescent="0.25">
      <c r="A367" t="s">
        <v>28</v>
      </c>
      <c r="B367" t="s">
        <v>15</v>
      </c>
      <c r="C367" s="244">
        <v>43207</v>
      </c>
      <c r="D367" s="245">
        <v>1881</v>
      </c>
      <c r="E367" t="s">
        <v>128</v>
      </c>
      <c r="F367" s="247">
        <v>9602.8829999999998</v>
      </c>
    </row>
    <row r="368" spans="1:6" x14ac:dyDescent="0.25">
      <c r="A368" t="s">
        <v>28</v>
      </c>
      <c r="B368" t="s">
        <v>17</v>
      </c>
      <c r="C368" s="244">
        <v>43207</v>
      </c>
      <c r="D368" s="245">
        <v>1881</v>
      </c>
      <c r="E368" t="s">
        <v>128</v>
      </c>
      <c r="F368" s="247">
        <v>4102.5569999999998</v>
      </c>
    </row>
    <row r="369" spans="1:7" x14ac:dyDescent="0.25">
      <c r="A369" t="s">
        <v>28</v>
      </c>
      <c r="B369" t="s">
        <v>15</v>
      </c>
      <c r="C369" s="244">
        <v>43208</v>
      </c>
      <c r="D369" s="245">
        <v>1882</v>
      </c>
      <c r="E369" t="s">
        <v>129</v>
      </c>
      <c r="F369" s="247">
        <v>13943.996000000001</v>
      </c>
    </row>
    <row r="370" spans="1:7" x14ac:dyDescent="0.25">
      <c r="A370" t="s">
        <v>28</v>
      </c>
      <c r="B370" t="s">
        <v>17</v>
      </c>
      <c r="C370" s="244">
        <v>43208</v>
      </c>
      <c r="D370" s="245">
        <v>1883</v>
      </c>
      <c r="E370" t="s">
        <v>129</v>
      </c>
      <c r="F370" s="247">
        <v>10153.838</v>
      </c>
    </row>
    <row r="371" spans="1:7" x14ac:dyDescent="0.25">
      <c r="A371" t="s">
        <v>28</v>
      </c>
      <c r="B371" t="s">
        <v>18</v>
      </c>
      <c r="C371" s="244">
        <v>43208</v>
      </c>
      <c r="D371" s="245">
        <v>1883</v>
      </c>
      <c r="E371" t="s">
        <v>129</v>
      </c>
      <c r="F371" s="247">
        <v>2239.5190000000002</v>
      </c>
    </row>
    <row r="372" spans="1:7" x14ac:dyDescent="0.25">
      <c r="A372" t="s">
        <v>28</v>
      </c>
      <c r="B372" t="s">
        <v>15</v>
      </c>
      <c r="C372" s="244">
        <v>43211</v>
      </c>
      <c r="D372" s="245">
        <v>1884</v>
      </c>
      <c r="E372" t="s">
        <v>124</v>
      </c>
      <c r="F372" s="247">
        <v>11558.4</v>
      </c>
    </row>
    <row r="373" spans="1:7" x14ac:dyDescent="0.25">
      <c r="A373" t="s">
        <v>28</v>
      </c>
      <c r="B373" t="s">
        <v>16</v>
      </c>
      <c r="C373" s="244">
        <v>43211</v>
      </c>
      <c r="D373" s="245">
        <v>1885</v>
      </c>
      <c r="E373" t="s">
        <v>124</v>
      </c>
      <c r="F373" s="247">
        <v>6949.0939999999991</v>
      </c>
    </row>
    <row r="374" spans="1:7" x14ac:dyDescent="0.25">
      <c r="A374" t="s">
        <v>28</v>
      </c>
      <c r="B374" t="s">
        <v>18</v>
      </c>
      <c r="C374" s="244">
        <v>43211</v>
      </c>
      <c r="D374" s="245">
        <v>1885</v>
      </c>
      <c r="E374" t="s">
        <v>124</v>
      </c>
      <c r="F374" s="247">
        <v>2239.5190000000002</v>
      </c>
    </row>
    <row r="375" spans="1:7" x14ac:dyDescent="0.25">
      <c r="A375" t="s">
        <v>28</v>
      </c>
      <c r="B375" t="s">
        <v>190</v>
      </c>
      <c r="C375" s="244">
        <v>43211</v>
      </c>
      <c r="D375" s="245">
        <v>1885</v>
      </c>
      <c r="E375" t="s">
        <v>124</v>
      </c>
      <c r="F375" s="247">
        <v>1034.482</v>
      </c>
      <c r="G375" s="247"/>
    </row>
    <row r="376" spans="1:7" x14ac:dyDescent="0.25">
      <c r="A376" t="s">
        <v>28</v>
      </c>
      <c r="B376" t="s">
        <v>15</v>
      </c>
      <c r="C376" s="244">
        <v>43211</v>
      </c>
      <c r="D376" s="245">
        <v>1886</v>
      </c>
      <c r="E376" t="s">
        <v>125</v>
      </c>
      <c r="F376" s="247">
        <v>9902.7609999999986</v>
      </c>
    </row>
    <row r="377" spans="1:7" x14ac:dyDescent="0.25">
      <c r="A377" t="s">
        <v>28</v>
      </c>
      <c r="B377" t="s">
        <v>191</v>
      </c>
      <c r="C377" s="244">
        <v>43211</v>
      </c>
      <c r="D377" s="245">
        <v>1886</v>
      </c>
      <c r="E377" t="s">
        <v>125</v>
      </c>
      <c r="F377" s="247">
        <v>2783.08</v>
      </c>
      <c r="G377" s="247"/>
    </row>
    <row r="378" spans="1:7" x14ac:dyDescent="0.25">
      <c r="A378" t="s">
        <v>28</v>
      </c>
      <c r="B378" t="s">
        <v>15</v>
      </c>
      <c r="C378" s="244">
        <v>43211</v>
      </c>
      <c r="D378" s="245">
        <v>1887</v>
      </c>
      <c r="E378" t="s">
        <v>126</v>
      </c>
      <c r="F378" s="247">
        <v>5075.2800000000007</v>
      </c>
    </row>
    <row r="379" spans="1:7" x14ac:dyDescent="0.25">
      <c r="A379" t="s">
        <v>28</v>
      </c>
      <c r="B379" t="s">
        <v>15</v>
      </c>
      <c r="C379" s="244">
        <v>43213</v>
      </c>
      <c r="D379" s="245">
        <v>1888</v>
      </c>
      <c r="E379" t="s">
        <v>128</v>
      </c>
      <c r="F379" s="247">
        <v>7029.12</v>
      </c>
    </row>
    <row r="380" spans="1:7" x14ac:dyDescent="0.25">
      <c r="A380" t="s">
        <v>28</v>
      </c>
      <c r="B380" t="s">
        <v>191</v>
      </c>
      <c r="C380" s="244">
        <v>43213</v>
      </c>
      <c r="D380" s="245">
        <v>1888</v>
      </c>
      <c r="E380" t="s">
        <v>128</v>
      </c>
      <c r="F380" s="247">
        <v>2066.3989999999999</v>
      </c>
    </row>
    <row r="381" spans="1:7" x14ac:dyDescent="0.25">
      <c r="A381" t="s">
        <v>28</v>
      </c>
      <c r="B381" t="s">
        <v>15</v>
      </c>
      <c r="C381" s="244">
        <v>43213</v>
      </c>
      <c r="D381" s="245">
        <v>1889</v>
      </c>
      <c r="E381" t="s">
        <v>130</v>
      </c>
      <c r="F381" s="247">
        <v>6541.92</v>
      </c>
    </row>
    <row r="382" spans="1:7" x14ac:dyDescent="0.25">
      <c r="A382" t="s">
        <v>28</v>
      </c>
      <c r="B382" t="s">
        <v>17</v>
      </c>
      <c r="C382" s="244">
        <v>43213</v>
      </c>
      <c r="D382" s="245">
        <v>1890</v>
      </c>
      <c r="E382" t="s">
        <v>130</v>
      </c>
      <c r="F382" s="247">
        <v>3282.05</v>
      </c>
    </row>
    <row r="383" spans="1:7" x14ac:dyDescent="0.25">
      <c r="A383" t="s">
        <v>28</v>
      </c>
      <c r="B383" t="s">
        <v>16</v>
      </c>
      <c r="C383" s="244">
        <v>43213</v>
      </c>
      <c r="D383" s="245">
        <v>1890</v>
      </c>
      <c r="E383" t="s">
        <v>130</v>
      </c>
      <c r="F383" s="247">
        <v>5879.9979999999996</v>
      </c>
    </row>
    <row r="384" spans="1:7" x14ac:dyDescent="0.25">
      <c r="A384" t="s">
        <v>28</v>
      </c>
      <c r="B384" t="s">
        <v>18</v>
      </c>
      <c r="C384" s="244">
        <v>43213</v>
      </c>
      <c r="D384" s="245">
        <v>1890</v>
      </c>
      <c r="E384" t="s">
        <v>130</v>
      </c>
      <c r="F384" s="247">
        <v>1227.135</v>
      </c>
    </row>
    <row r="385" spans="1:6" x14ac:dyDescent="0.25">
      <c r="A385" t="s">
        <v>28</v>
      </c>
      <c r="B385" t="s">
        <v>15</v>
      </c>
      <c r="C385" s="244">
        <v>43213</v>
      </c>
      <c r="D385" s="245">
        <v>1891</v>
      </c>
      <c r="E385" t="s">
        <v>126</v>
      </c>
      <c r="F385" s="247">
        <v>6032.88</v>
      </c>
    </row>
    <row r="386" spans="1:6" x14ac:dyDescent="0.25">
      <c r="A386" t="s">
        <v>32</v>
      </c>
      <c r="B386" t="s">
        <v>16</v>
      </c>
      <c r="C386" s="244">
        <v>43214</v>
      </c>
      <c r="D386" s="245">
        <v>1892</v>
      </c>
      <c r="E386" t="s">
        <v>331</v>
      </c>
      <c r="F386" s="247">
        <v>1669.5650000000001</v>
      </c>
    </row>
    <row r="387" spans="1:6" x14ac:dyDescent="0.25">
      <c r="A387" t="s">
        <v>32</v>
      </c>
      <c r="B387" t="s">
        <v>16</v>
      </c>
      <c r="C387" s="244">
        <v>43214</v>
      </c>
      <c r="D387" s="245">
        <v>1891</v>
      </c>
      <c r="E387" t="s">
        <v>137</v>
      </c>
      <c r="F387" s="247">
        <v>1669.5650000000001</v>
      </c>
    </row>
    <row r="388" spans="1:6" x14ac:dyDescent="0.25">
      <c r="A388" t="s">
        <v>28</v>
      </c>
      <c r="B388" t="s">
        <v>15</v>
      </c>
      <c r="C388" s="244">
        <v>43216</v>
      </c>
      <c r="D388" s="245">
        <v>1893</v>
      </c>
      <c r="E388" t="s">
        <v>128</v>
      </c>
      <c r="F388" s="247">
        <v>4016.88</v>
      </c>
    </row>
    <row r="389" spans="1:6" x14ac:dyDescent="0.25">
      <c r="A389" t="s">
        <v>28</v>
      </c>
      <c r="B389" t="s">
        <v>17</v>
      </c>
      <c r="C389" s="244">
        <v>43216</v>
      </c>
      <c r="D389" s="245">
        <v>1894</v>
      </c>
      <c r="E389" t="s">
        <v>128</v>
      </c>
      <c r="F389" s="247">
        <v>18230.761999999999</v>
      </c>
    </row>
    <row r="390" spans="1:6" x14ac:dyDescent="0.25">
      <c r="A390" t="s">
        <v>28</v>
      </c>
      <c r="B390" t="s">
        <v>18</v>
      </c>
      <c r="C390" s="244">
        <v>43216</v>
      </c>
      <c r="D390" s="245">
        <v>1894</v>
      </c>
      <c r="E390" t="s">
        <v>128</v>
      </c>
      <c r="F390" s="247">
        <v>2239.5190000000002</v>
      </c>
    </row>
    <row r="391" spans="1:6" x14ac:dyDescent="0.25">
      <c r="A391" t="s">
        <v>28</v>
      </c>
      <c r="B391" t="s">
        <v>15</v>
      </c>
      <c r="C391" s="244">
        <v>43217</v>
      </c>
      <c r="D391" s="245">
        <v>1895</v>
      </c>
      <c r="E391" t="s">
        <v>132</v>
      </c>
      <c r="F391" s="247">
        <v>9987.6009999999987</v>
      </c>
    </row>
    <row r="392" spans="1:6" x14ac:dyDescent="0.25">
      <c r="A392" t="s">
        <v>28</v>
      </c>
      <c r="B392" t="s">
        <v>17</v>
      </c>
      <c r="C392" s="244">
        <v>43217</v>
      </c>
      <c r="D392" s="245">
        <v>1896</v>
      </c>
      <c r="E392" t="s">
        <v>132</v>
      </c>
      <c r="F392" s="247">
        <v>7538.456000000001</v>
      </c>
    </row>
    <row r="393" spans="1:6" x14ac:dyDescent="0.25">
      <c r="A393" t="s">
        <v>28</v>
      </c>
      <c r="B393" t="s">
        <v>18</v>
      </c>
      <c r="C393" s="244">
        <v>43217</v>
      </c>
      <c r="D393" s="245">
        <v>1896</v>
      </c>
      <c r="E393" t="s">
        <v>132</v>
      </c>
      <c r="F393" s="247">
        <v>613.56700000000001</v>
      </c>
    </row>
    <row r="394" spans="1:6" x14ac:dyDescent="0.25">
      <c r="A394" t="s">
        <v>28</v>
      </c>
      <c r="B394" t="s">
        <v>15</v>
      </c>
      <c r="C394" s="244">
        <v>43218</v>
      </c>
      <c r="D394" s="245">
        <v>1897</v>
      </c>
      <c r="E394" t="s">
        <v>130</v>
      </c>
      <c r="F394" s="247">
        <v>12463.921000000002</v>
      </c>
    </row>
    <row r="395" spans="1:6" x14ac:dyDescent="0.25">
      <c r="A395" t="s">
        <v>28</v>
      </c>
      <c r="B395" t="s">
        <v>17</v>
      </c>
      <c r="C395" s="244">
        <v>43219</v>
      </c>
      <c r="D395" s="245">
        <v>1898</v>
      </c>
      <c r="E395" t="s">
        <v>131</v>
      </c>
      <c r="F395" s="247">
        <v>8307.6840000000011</v>
      </c>
    </row>
    <row r="396" spans="1:6" x14ac:dyDescent="0.25">
      <c r="A396" t="s">
        <v>28</v>
      </c>
      <c r="B396" t="s">
        <v>18</v>
      </c>
      <c r="C396" s="244">
        <v>43219</v>
      </c>
      <c r="D396" s="245">
        <v>1898</v>
      </c>
      <c r="E396" t="s">
        <v>131</v>
      </c>
      <c r="F396" s="247">
        <v>1227.135</v>
      </c>
    </row>
    <row r="397" spans="1:6" x14ac:dyDescent="0.25">
      <c r="A397" t="s">
        <v>28</v>
      </c>
      <c r="B397" t="s">
        <v>15</v>
      </c>
      <c r="C397" s="244">
        <v>43218</v>
      </c>
      <c r="D397" s="245">
        <v>1899</v>
      </c>
      <c r="E397" t="s">
        <v>122</v>
      </c>
      <c r="F397" s="247">
        <v>9875.0409999999993</v>
      </c>
    </row>
    <row r="398" spans="1:6" x14ac:dyDescent="0.25">
      <c r="A398" t="s">
        <v>28</v>
      </c>
      <c r="B398" t="s">
        <v>17</v>
      </c>
      <c r="C398" s="244">
        <v>43218</v>
      </c>
      <c r="D398" s="245">
        <v>1900</v>
      </c>
      <c r="E398" t="s">
        <v>122</v>
      </c>
      <c r="F398" s="247">
        <v>3692.3020000000001</v>
      </c>
    </row>
    <row r="399" spans="1:6" x14ac:dyDescent="0.25">
      <c r="A399" t="s">
        <v>28</v>
      </c>
      <c r="B399" t="s">
        <v>16</v>
      </c>
      <c r="C399" s="244">
        <v>43218</v>
      </c>
      <c r="D399" s="245">
        <v>1900</v>
      </c>
      <c r="E399" t="s">
        <v>122</v>
      </c>
      <c r="F399" s="247">
        <v>2672.7259999999997</v>
      </c>
    </row>
    <row r="400" spans="1:6" x14ac:dyDescent="0.25">
      <c r="A400" t="s">
        <v>28</v>
      </c>
      <c r="B400" t="s">
        <v>18</v>
      </c>
      <c r="C400" s="244">
        <v>43218</v>
      </c>
      <c r="D400" s="245">
        <v>1900</v>
      </c>
      <c r="E400" t="s">
        <v>122</v>
      </c>
      <c r="F400" s="247">
        <v>1625.951</v>
      </c>
    </row>
    <row r="401" spans="1:6" x14ac:dyDescent="0.25">
      <c r="A401" t="s">
        <v>28</v>
      </c>
      <c r="B401" t="s">
        <v>17</v>
      </c>
      <c r="C401" s="244">
        <v>43218</v>
      </c>
      <c r="D401" s="245">
        <v>1901</v>
      </c>
      <c r="E401" t="s">
        <v>123</v>
      </c>
      <c r="F401" s="247">
        <v>7397.4360000000006</v>
      </c>
    </row>
    <row r="402" spans="1:6" x14ac:dyDescent="0.25">
      <c r="A402" t="s">
        <v>28</v>
      </c>
      <c r="B402" t="s">
        <v>17</v>
      </c>
      <c r="C402" s="244">
        <v>43218</v>
      </c>
      <c r="D402" s="245">
        <v>1902</v>
      </c>
      <c r="E402" t="s">
        <v>125</v>
      </c>
      <c r="F402" s="247">
        <v>6769.2209999999995</v>
      </c>
    </row>
    <row r="403" spans="1:6" x14ac:dyDescent="0.25">
      <c r="A403" t="s">
        <v>32</v>
      </c>
      <c r="B403" t="s">
        <v>17</v>
      </c>
      <c r="C403" s="244">
        <v>43218</v>
      </c>
      <c r="D403" s="245">
        <v>1903</v>
      </c>
      <c r="E403" t="s">
        <v>138</v>
      </c>
      <c r="F403" s="247">
        <v>5008.6979999999994</v>
      </c>
    </row>
    <row r="404" spans="1:6" x14ac:dyDescent="0.25">
      <c r="A404" t="s">
        <v>28</v>
      </c>
      <c r="B404" t="s">
        <v>18</v>
      </c>
      <c r="C404" s="244">
        <v>43218</v>
      </c>
      <c r="D404" s="245">
        <v>1904</v>
      </c>
      <c r="E404" t="s">
        <v>123</v>
      </c>
      <c r="F404" s="247">
        <v>1227.135</v>
      </c>
    </row>
    <row r="405" spans="1:6" x14ac:dyDescent="0.25">
      <c r="A405" t="s">
        <v>28</v>
      </c>
      <c r="B405" t="s">
        <v>15</v>
      </c>
      <c r="C405" s="244">
        <v>43220</v>
      </c>
      <c r="D405" s="245">
        <v>1905</v>
      </c>
      <c r="E405" t="s">
        <v>133</v>
      </c>
      <c r="F405" s="247">
        <v>1915.2</v>
      </c>
    </row>
    <row r="406" spans="1:6" x14ac:dyDescent="0.25">
      <c r="A406" t="s">
        <v>28</v>
      </c>
      <c r="B406" t="s">
        <v>17</v>
      </c>
      <c r="C406" s="244">
        <v>43220</v>
      </c>
      <c r="D406" s="245">
        <v>1905</v>
      </c>
      <c r="E406" t="s">
        <v>133</v>
      </c>
      <c r="F406" s="247">
        <v>3282.0430000000001</v>
      </c>
    </row>
    <row r="407" spans="1:6" x14ac:dyDescent="0.25">
      <c r="A407" t="s">
        <v>28</v>
      </c>
      <c r="B407" t="s">
        <v>191</v>
      </c>
      <c r="C407" s="244">
        <v>43222</v>
      </c>
      <c r="D407" s="245">
        <v>1906</v>
      </c>
      <c r="E407" t="s">
        <v>124</v>
      </c>
      <c r="F407" s="247">
        <v>491.99799999999999</v>
      </c>
    </row>
    <row r="408" spans="1:6" x14ac:dyDescent="0.25">
      <c r="A408" t="s">
        <v>28</v>
      </c>
      <c r="B408" t="s">
        <v>15</v>
      </c>
      <c r="C408" s="244">
        <v>43223</v>
      </c>
      <c r="D408" s="245">
        <v>1906</v>
      </c>
      <c r="E408" t="s">
        <v>123</v>
      </c>
      <c r="F408" s="247">
        <v>14525.280999999999</v>
      </c>
    </row>
    <row r="409" spans="1:6" x14ac:dyDescent="0.25">
      <c r="A409" t="s">
        <v>28</v>
      </c>
      <c r="B409" t="s">
        <v>17</v>
      </c>
      <c r="C409" s="244">
        <v>43223</v>
      </c>
      <c r="D409" s="245">
        <v>1907</v>
      </c>
      <c r="E409" t="s">
        <v>123</v>
      </c>
      <c r="F409" s="247">
        <v>820.51300000000003</v>
      </c>
    </row>
    <row r="410" spans="1:6" x14ac:dyDescent="0.25">
      <c r="A410" t="s">
        <v>28</v>
      </c>
      <c r="B410" t="s">
        <v>16</v>
      </c>
      <c r="C410" s="244">
        <v>43223</v>
      </c>
      <c r="D410" s="245">
        <v>1907</v>
      </c>
      <c r="E410" t="s">
        <v>123</v>
      </c>
      <c r="F410" s="247">
        <v>4276.3630000000003</v>
      </c>
    </row>
    <row r="411" spans="1:6" x14ac:dyDescent="0.25">
      <c r="A411" t="s">
        <v>28</v>
      </c>
      <c r="B411" t="s">
        <v>16</v>
      </c>
      <c r="C411" s="244">
        <v>43223</v>
      </c>
      <c r="D411" s="245">
        <v>1908</v>
      </c>
      <c r="E411" t="s">
        <v>125</v>
      </c>
      <c r="F411" s="247">
        <v>5888.9089999999997</v>
      </c>
    </row>
    <row r="412" spans="1:6" x14ac:dyDescent="0.25">
      <c r="A412" t="s">
        <v>28</v>
      </c>
      <c r="B412" t="s">
        <v>18</v>
      </c>
      <c r="C412" s="244">
        <v>43223</v>
      </c>
      <c r="D412" s="245">
        <v>1908</v>
      </c>
      <c r="E412" t="s">
        <v>125</v>
      </c>
      <c r="F412" s="247">
        <v>1227.135</v>
      </c>
    </row>
    <row r="413" spans="1:6" x14ac:dyDescent="0.25">
      <c r="A413" t="s">
        <v>28</v>
      </c>
      <c r="B413" t="s">
        <v>190</v>
      </c>
      <c r="C413" s="244">
        <v>43223</v>
      </c>
      <c r="D413" s="245">
        <v>1908</v>
      </c>
      <c r="E413" t="s">
        <v>125</v>
      </c>
      <c r="F413" s="247">
        <v>2068.9659999999999</v>
      </c>
    </row>
    <row r="414" spans="1:6" x14ac:dyDescent="0.25">
      <c r="A414" t="s">
        <v>28</v>
      </c>
      <c r="B414" t="s">
        <v>15</v>
      </c>
      <c r="C414" s="244">
        <v>43223</v>
      </c>
      <c r="D414" s="245">
        <v>1909</v>
      </c>
      <c r="E414" t="s">
        <v>128</v>
      </c>
      <c r="F414" s="247">
        <v>24375.121999999996</v>
      </c>
    </row>
    <row r="415" spans="1:6" x14ac:dyDescent="0.25">
      <c r="A415" t="s">
        <v>28</v>
      </c>
      <c r="B415" t="s">
        <v>15</v>
      </c>
      <c r="C415" s="244">
        <v>43223</v>
      </c>
      <c r="D415" s="245">
        <v>1909</v>
      </c>
      <c r="E415" t="s">
        <v>128</v>
      </c>
      <c r="F415" s="247">
        <v>22527.121999999996</v>
      </c>
    </row>
    <row r="416" spans="1:6" x14ac:dyDescent="0.25">
      <c r="A416" t="s">
        <v>28</v>
      </c>
      <c r="B416" t="s">
        <v>15</v>
      </c>
      <c r="C416" s="244">
        <v>43223</v>
      </c>
      <c r="D416" s="245">
        <v>1910</v>
      </c>
      <c r="E416" t="s">
        <v>130</v>
      </c>
      <c r="F416" s="247">
        <v>3175.2</v>
      </c>
    </row>
    <row r="417" spans="1:6" x14ac:dyDescent="0.25">
      <c r="A417" t="s">
        <v>28</v>
      </c>
      <c r="B417" t="s">
        <v>15</v>
      </c>
      <c r="C417" s="244">
        <v>43224</v>
      </c>
      <c r="D417" s="245">
        <v>1911</v>
      </c>
      <c r="E417" t="s">
        <v>129</v>
      </c>
      <c r="F417" s="247">
        <v>16852.078000000001</v>
      </c>
    </row>
    <row r="418" spans="1:6" x14ac:dyDescent="0.25">
      <c r="A418" t="s">
        <v>28</v>
      </c>
      <c r="B418" t="s">
        <v>18</v>
      </c>
      <c r="C418" s="244">
        <v>43224</v>
      </c>
      <c r="D418" s="245">
        <v>1911</v>
      </c>
      <c r="E418" t="s">
        <v>129</v>
      </c>
      <c r="F418" s="247">
        <v>2024.7660000000001</v>
      </c>
    </row>
    <row r="419" spans="1:6" x14ac:dyDescent="0.25">
      <c r="A419" t="s">
        <v>28</v>
      </c>
      <c r="B419" t="s">
        <v>16</v>
      </c>
      <c r="C419" s="244">
        <v>43224</v>
      </c>
      <c r="D419" s="245">
        <v>1912</v>
      </c>
      <c r="E419" t="s">
        <v>128</v>
      </c>
      <c r="F419" s="247">
        <v>6949.0920000000006</v>
      </c>
    </row>
    <row r="420" spans="1:6" x14ac:dyDescent="0.25">
      <c r="A420" t="s">
        <v>28</v>
      </c>
      <c r="B420" t="s">
        <v>18</v>
      </c>
      <c r="C420" s="244">
        <v>43224</v>
      </c>
      <c r="D420" s="245">
        <v>1912</v>
      </c>
      <c r="E420" t="s">
        <v>128</v>
      </c>
      <c r="F420" s="247">
        <v>1012.384</v>
      </c>
    </row>
    <row r="421" spans="1:6" x14ac:dyDescent="0.25">
      <c r="A421" t="s">
        <v>28</v>
      </c>
      <c r="B421" t="s">
        <v>16</v>
      </c>
      <c r="C421" s="244">
        <v>43224</v>
      </c>
      <c r="D421" s="245">
        <v>1913</v>
      </c>
      <c r="E421" t="s">
        <v>134</v>
      </c>
      <c r="F421" s="247">
        <v>4276.366</v>
      </c>
    </row>
    <row r="422" spans="1:6" x14ac:dyDescent="0.25">
      <c r="A422" t="s">
        <v>28</v>
      </c>
      <c r="B422" t="s">
        <v>15</v>
      </c>
      <c r="C422" s="244">
        <v>43225</v>
      </c>
      <c r="D422" s="245">
        <v>1914</v>
      </c>
      <c r="E422" t="s">
        <v>129</v>
      </c>
      <c r="F422" s="247">
        <v>2520.0010000000002</v>
      </c>
    </row>
    <row r="423" spans="1:6" x14ac:dyDescent="0.25">
      <c r="A423" t="s">
        <v>32</v>
      </c>
      <c r="B423" t="s">
        <v>17</v>
      </c>
      <c r="C423" s="244">
        <v>43225</v>
      </c>
      <c r="D423" s="245">
        <v>1915</v>
      </c>
      <c r="E423" t="s">
        <v>147</v>
      </c>
      <c r="F423" s="247">
        <v>8139.1309999999994</v>
      </c>
    </row>
    <row r="424" spans="1:6" x14ac:dyDescent="0.25">
      <c r="A424" t="s">
        <v>28</v>
      </c>
      <c r="B424" t="s">
        <v>17</v>
      </c>
      <c r="C424" s="244">
        <v>43226</v>
      </c>
      <c r="D424" s="245">
        <v>1916</v>
      </c>
      <c r="E424" t="s">
        <v>127</v>
      </c>
      <c r="F424" s="247">
        <v>3717.9460000000004</v>
      </c>
    </row>
    <row r="425" spans="1:6" x14ac:dyDescent="0.25">
      <c r="A425" t="s">
        <v>28</v>
      </c>
      <c r="B425" t="s">
        <v>15</v>
      </c>
      <c r="C425" s="244">
        <v>43226</v>
      </c>
      <c r="D425" s="245">
        <v>1917</v>
      </c>
      <c r="E425" t="s">
        <v>130</v>
      </c>
      <c r="F425" s="247">
        <v>5836.3230000000003</v>
      </c>
    </row>
    <row r="426" spans="1:6" x14ac:dyDescent="0.25">
      <c r="A426" t="s">
        <v>28</v>
      </c>
      <c r="B426" t="s">
        <v>15</v>
      </c>
      <c r="C426" s="244">
        <v>43225</v>
      </c>
      <c r="D426" s="245">
        <v>1918</v>
      </c>
      <c r="E426" t="s">
        <v>124</v>
      </c>
      <c r="F426" s="247">
        <v>10421.039000000001</v>
      </c>
    </row>
    <row r="427" spans="1:6" x14ac:dyDescent="0.25">
      <c r="A427" t="s">
        <v>28</v>
      </c>
      <c r="B427" t="s">
        <v>17</v>
      </c>
      <c r="C427" s="244">
        <v>43225</v>
      </c>
      <c r="D427" s="245">
        <v>1919</v>
      </c>
      <c r="E427" t="s">
        <v>124</v>
      </c>
      <c r="F427" s="247">
        <v>16820.516</v>
      </c>
    </row>
    <row r="428" spans="1:6" x14ac:dyDescent="0.25">
      <c r="A428" t="s">
        <v>28</v>
      </c>
      <c r="B428" t="s">
        <v>16</v>
      </c>
      <c r="C428" s="244">
        <v>43225</v>
      </c>
      <c r="D428" s="245">
        <v>1919</v>
      </c>
      <c r="E428" t="s">
        <v>124</v>
      </c>
      <c r="F428" s="247">
        <v>6414.549</v>
      </c>
    </row>
    <row r="429" spans="1:6" x14ac:dyDescent="0.25">
      <c r="A429" t="s">
        <v>28</v>
      </c>
      <c r="B429" t="s">
        <v>18</v>
      </c>
      <c r="C429" s="244">
        <v>43225</v>
      </c>
      <c r="D429" s="245">
        <v>1919</v>
      </c>
      <c r="E429" t="s">
        <v>124</v>
      </c>
      <c r="F429" s="247">
        <v>2239.5190000000002</v>
      </c>
    </row>
    <row r="430" spans="1:6" x14ac:dyDescent="0.25">
      <c r="A430" t="s">
        <v>28</v>
      </c>
      <c r="B430" t="s">
        <v>191</v>
      </c>
      <c r="C430" s="244">
        <v>43225</v>
      </c>
      <c r="D430" s="245">
        <v>1919</v>
      </c>
      <c r="E430" t="s">
        <v>124</v>
      </c>
      <c r="F430" s="247">
        <v>905.28</v>
      </c>
    </row>
    <row r="431" spans="1:6" x14ac:dyDescent="0.25">
      <c r="A431" t="s">
        <v>28</v>
      </c>
      <c r="B431" t="s">
        <v>15</v>
      </c>
      <c r="C431" s="244">
        <v>43228</v>
      </c>
      <c r="D431" s="245">
        <v>1920</v>
      </c>
      <c r="E431" t="s">
        <v>130</v>
      </c>
      <c r="F431" s="247">
        <v>8053.92</v>
      </c>
    </row>
    <row r="432" spans="1:6" x14ac:dyDescent="0.25">
      <c r="A432" t="s">
        <v>28</v>
      </c>
      <c r="B432" t="s">
        <v>15</v>
      </c>
      <c r="C432" s="244">
        <v>43228</v>
      </c>
      <c r="D432" s="245">
        <v>1920</v>
      </c>
      <c r="E432" t="s">
        <v>130</v>
      </c>
      <c r="F432" s="247">
        <v>10059.84</v>
      </c>
    </row>
    <row r="433" spans="1:6" x14ac:dyDescent="0.25">
      <c r="A433" t="s">
        <v>28</v>
      </c>
      <c r="B433" t="s">
        <v>15</v>
      </c>
      <c r="C433" s="244">
        <v>43228</v>
      </c>
      <c r="D433" s="245">
        <v>1920</v>
      </c>
      <c r="E433" t="s">
        <v>130</v>
      </c>
      <c r="F433" s="247">
        <v>10059.84</v>
      </c>
    </row>
    <row r="434" spans="1:6" x14ac:dyDescent="0.25">
      <c r="A434" t="s">
        <v>28</v>
      </c>
      <c r="B434" t="s">
        <v>15</v>
      </c>
      <c r="C434" s="244">
        <v>43228</v>
      </c>
      <c r="D434" s="245">
        <v>1920</v>
      </c>
      <c r="E434" t="s">
        <v>130</v>
      </c>
      <c r="F434" s="247">
        <v>10059.84</v>
      </c>
    </row>
    <row r="435" spans="1:6" x14ac:dyDescent="0.25">
      <c r="A435" t="s">
        <v>28</v>
      </c>
      <c r="B435" t="s">
        <v>15</v>
      </c>
      <c r="C435" s="244">
        <v>43232</v>
      </c>
      <c r="D435" s="245">
        <v>1921</v>
      </c>
      <c r="E435" t="s">
        <v>128</v>
      </c>
      <c r="F435" s="247">
        <v>16539.599999999999</v>
      </c>
    </row>
    <row r="436" spans="1:6" x14ac:dyDescent="0.25">
      <c r="A436" t="s">
        <v>28</v>
      </c>
      <c r="B436" t="s">
        <v>15</v>
      </c>
      <c r="C436" s="244">
        <v>43232</v>
      </c>
      <c r="D436" s="245">
        <v>1922</v>
      </c>
      <c r="E436" t="s">
        <v>125</v>
      </c>
      <c r="F436" s="247">
        <v>22926.962</v>
      </c>
    </row>
    <row r="437" spans="1:6" x14ac:dyDescent="0.25">
      <c r="A437" t="s">
        <v>28</v>
      </c>
      <c r="B437" t="s">
        <v>17</v>
      </c>
      <c r="C437" s="244">
        <v>43232</v>
      </c>
      <c r="D437" s="245">
        <v>1923</v>
      </c>
      <c r="E437" t="s">
        <v>129</v>
      </c>
      <c r="F437" s="247">
        <v>11897.434999999999</v>
      </c>
    </row>
    <row r="438" spans="1:6" x14ac:dyDescent="0.25">
      <c r="A438" t="s">
        <v>28</v>
      </c>
      <c r="B438" t="s">
        <v>15</v>
      </c>
      <c r="C438" s="244">
        <v>43232</v>
      </c>
      <c r="D438" s="245">
        <v>1924</v>
      </c>
      <c r="E438" t="s">
        <v>125</v>
      </c>
      <c r="F438" s="247">
        <v>1915.2</v>
      </c>
    </row>
    <row r="439" spans="1:6" x14ac:dyDescent="0.25">
      <c r="A439" t="s">
        <v>28</v>
      </c>
      <c r="B439" t="s">
        <v>15</v>
      </c>
      <c r="C439" s="244">
        <v>43232</v>
      </c>
      <c r="D439" s="245">
        <v>1925</v>
      </c>
      <c r="E439" t="s">
        <v>129</v>
      </c>
      <c r="F439" s="247">
        <v>1848</v>
      </c>
    </row>
    <row r="440" spans="1:6" x14ac:dyDescent="0.25">
      <c r="A440" t="s">
        <v>28</v>
      </c>
      <c r="B440" t="s">
        <v>18</v>
      </c>
      <c r="C440" s="244">
        <v>43232</v>
      </c>
      <c r="D440" s="245">
        <v>1925</v>
      </c>
      <c r="E440" t="s">
        <v>129</v>
      </c>
      <c r="F440" s="247">
        <v>2638.3330000000001</v>
      </c>
    </row>
    <row r="441" spans="1:6" x14ac:dyDescent="0.25">
      <c r="A441" t="s">
        <v>28</v>
      </c>
      <c r="B441" t="s">
        <v>15</v>
      </c>
      <c r="C441" s="244">
        <v>43232</v>
      </c>
      <c r="D441" s="245">
        <v>1927</v>
      </c>
      <c r="E441" t="s">
        <v>132</v>
      </c>
      <c r="F441" s="247">
        <v>3165.1200000000003</v>
      </c>
    </row>
    <row r="442" spans="1:6" x14ac:dyDescent="0.25">
      <c r="A442" t="s">
        <v>28</v>
      </c>
      <c r="B442" t="s">
        <v>15</v>
      </c>
      <c r="C442" s="244">
        <v>43235</v>
      </c>
      <c r="D442" s="245">
        <v>1928</v>
      </c>
      <c r="E442" t="s">
        <v>128</v>
      </c>
      <c r="F442" s="247">
        <v>11951.52</v>
      </c>
    </row>
    <row r="443" spans="1:6" x14ac:dyDescent="0.25">
      <c r="A443" t="s">
        <v>28</v>
      </c>
      <c r="B443" t="s">
        <v>17</v>
      </c>
      <c r="C443" s="244">
        <v>43235</v>
      </c>
      <c r="D443" s="245">
        <v>1929</v>
      </c>
      <c r="E443" t="s">
        <v>130</v>
      </c>
      <c r="F443" s="247">
        <v>11999.99</v>
      </c>
    </row>
    <row r="444" spans="1:6" x14ac:dyDescent="0.25">
      <c r="A444" t="s">
        <v>28</v>
      </c>
      <c r="B444" t="s">
        <v>16</v>
      </c>
      <c r="C444" s="244">
        <v>43235</v>
      </c>
      <c r="D444" s="245">
        <v>1930</v>
      </c>
      <c r="E444" t="s">
        <v>128</v>
      </c>
      <c r="F444" s="247">
        <v>9621.8170000000009</v>
      </c>
    </row>
    <row r="445" spans="1:6" x14ac:dyDescent="0.25">
      <c r="A445" t="s">
        <v>28</v>
      </c>
      <c r="B445" t="s">
        <v>18</v>
      </c>
      <c r="C445" s="244">
        <v>43235</v>
      </c>
      <c r="D445" s="245">
        <v>1930</v>
      </c>
      <c r="E445" t="s">
        <v>128</v>
      </c>
      <c r="F445" s="247">
        <v>1227.135</v>
      </c>
    </row>
    <row r="446" spans="1:6" x14ac:dyDescent="0.25">
      <c r="A446" t="s">
        <v>28</v>
      </c>
      <c r="B446" t="s">
        <v>15</v>
      </c>
      <c r="C446" s="244">
        <v>43235</v>
      </c>
      <c r="D446" s="245">
        <v>1929</v>
      </c>
      <c r="E446" t="s">
        <v>130</v>
      </c>
      <c r="F446" s="247">
        <v>1915.2</v>
      </c>
    </row>
    <row r="447" spans="1:6" x14ac:dyDescent="0.25">
      <c r="A447" t="s">
        <v>28</v>
      </c>
      <c r="B447" t="s">
        <v>17</v>
      </c>
      <c r="C447" s="244">
        <v>43235</v>
      </c>
      <c r="D447" s="245">
        <v>1929</v>
      </c>
      <c r="E447" t="s">
        <v>130</v>
      </c>
      <c r="F447" s="247">
        <v>8051.2749999999996</v>
      </c>
    </row>
    <row r="448" spans="1:6" x14ac:dyDescent="0.25">
      <c r="A448" t="s">
        <v>28</v>
      </c>
      <c r="B448" t="s">
        <v>17</v>
      </c>
      <c r="C448" s="244">
        <v>43235</v>
      </c>
      <c r="D448" s="245">
        <v>1931</v>
      </c>
      <c r="E448" t="s">
        <v>132</v>
      </c>
      <c r="F448" s="247">
        <v>13230.761</v>
      </c>
    </row>
    <row r="449" spans="1:6" x14ac:dyDescent="0.25">
      <c r="A449" t="s">
        <v>28</v>
      </c>
      <c r="B449" t="s">
        <v>17</v>
      </c>
      <c r="C449" s="244">
        <v>43235</v>
      </c>
      <c r="D449" s="245">
        <v>1932</v>
      </c>
      <c r="E449" t="s">
        <v>133</v>
      </c>
      <c r="F449" s="247">
        <v>6974.3430000000008</v>
      </c>
    </row>
    <row r="450" spans="1:6" x14ac:dyDescent="0.25">
      <c r="A450" t="s">
        <v>28</v>
      </c>
      <c r="B450" t="s">
        <v>17</v>
      </c>
      <c r="C450" s="244">
        <v>43236</v>
      </c>
      <c r="D450" s="245">
        <v>1933</v>
      </c>
      <c r="E450" t="s">
        <v>123</v>
      </c>
      <c r="F450" s="247">
        <v>14974.324000000001</v>
      </c>
    </row>
  </sheetData>
  <conditionalFormatting sqref="A1:F58 A61:F68 A71:F85 B88 A89:F95 A97:F98 A100:F100 A104:F104 A106:F110 A112:F115 A117:F124 A138:F141 A143:F146 A148:F153 A155:F156 A165:F165 A167:F167 A181:F181 A169:F179 A159:F163 A184:F196 A198:F209 A214:F226 A228:F232 E127:E130 B136 E136 A234:F245 A247:F249 G249 A251:F267 A269:F269 A271:F274 A277:F284 A288:F289 A286:F286 A292:F292 A294:F370 A372:F374 A376:F1048521">
    <cfRule type="expression" dxfId="205" priority="385">
      <formula>IF(ISBLANK(#REF!),0,SEARCH(#REF!,$A2&amp;$B2&amp;$C2&amp;$D2&amp;$E2&amp;$F2))</formula>
    </cfRule>
  </conditionalFormatting>
  <conditionalFormatting sqref="A59:F59 A164:F164 A166:F166 A168:F168 A180:F180 C88:E88 A96:F96 A99:F99 A101:F103 A105:F105 A111:F111 A116:F116 A137:F137 A142:F142 A147:F147 A154:F154 A157:F158 A197:F197 A227:F227 A233:F233 E132:E135 D135:D136 C129:C130 F129:F130 D131:D132 C133:C136">
    <cfRule type="expression" dxfId="204" priority="410">
      <formula>IF(ISBLANK(#REF!),0,SEARCH(#REF!,#REF!&amp;#REF!&amp;#REF!&amp;#REF!&amp;#REF!&amp;#REF!))</formula>
    </cfRule>
  </conditionalFormatting>
  <conditionalFormatting sqref="A60:F60">
    <cfRule type="expression" dxfId="203" priority="411">
      <formula>IF(ISBLANK(#REF!),0,SEARCH(#REF!,$A71&amp;$B71&amp;$C71&amp;$D71&amp;$E71&amp;$F71))</formula>
    </cfRule>
  </conditionalFormatting>
  <conditionalFormatting sqref="A69:F69">
    <cfRule type="expression" dxfId="202" priority="412">
      <formula>IF(ISBLANK(#REF!),0,SEARCH(#REF!,$A60&amp;$B60&amp;$C60&amp;$D60&amp;$E60&amp;$F60))</formula>
    </cfRule>
  </conditionalFormatting>
  <conditionalFormatting sqref="A1048522:F1048576">
    <cfRule type="expression" dxfId="201" priority="413">
      <formula>IF(ISBLANK(#REF!),0,SEARCH(#REF!,$A1&amp;$B1&amp;$C1&amp;$D1&amp;$E1&amp;$F1))</formula>
    </cfRule>
  </conditionalFormatting>
  <conditionalFormatting sqref="C87:F87 A87:A88 F88 A182:F182 B129:B130">
    <cfRule type="expression" dxfId="200" priority="418">
      <formula>IF(ISBLANK(#REF!),0,SEARCH(#REF!,$A89&amp;$B89&amp;$C89&amp;$D89&amp;$E89&amp;$F89))</formula>
    </cfRule>
  </conditionalFormatting>
  <conditionalFormatting sqref="A183:F183">
    <cfRule type="expression" dxfId="199" priority="422">
      <formula>IF(ISBLANK(#REF!),0,SEARCH(#REF!,$A181&amp;$B181&amp;$C181&amp;$D181&amp;$E181&amp;$F181))</formula>
    </cfRule>
  </conditionalFormatting>
  <conditionalFormatting sqref="A86:F86">
    <cfRule type="expression" dxfId="198" priority="423">
      <formula>IF(ISBLANK(#REF!),0,SEARCH(#REF!,$A87&amp;$B88&amp;$C87&amp;$D87&amp;$E87&amp;$F87))</formula>
    </cfRule>
  </conditionalFormatting>
  <conditionalFormatting sqref="B87 A132:A134 D127 B127 B126:F126 A126:A127">
    <cfRule type="expression" dxfId="197" priority="439">
      <formula>IF(ISBLANK(#REF!),0,SEARCH(#REF!,#REF!&amp;#REF!&amp;#REF!&amp;#REF!&amp;#REF!&amp;#REF!))</formula>
    </cfRule>
  </conditionalFormatting>
  <conditionalFormatting sqref="A125:F125">
    <cfRule type="expression" dxfId="196" priority="444">
      <formula>IF(ISBLANK(#REF!),0,SEARCH(#REF!,$A137&amp;$B137&amp;$C137&amp;$D137&amp;$E137&amp;$F137))</formula>
    </cfRule>
  </conditionalFormatting>
  <conditionalFormatting sqref="B133 F133 A210:F211 A212:E212 A213:F213">
    <cfRule type="expression" dxfId="195" priority="445">
      <formula>IF(ISBLANK(#REF!),0,SEARCH(#REF!,$A137&amp;$B137&amp;$C137&amp;$D137&amp;$E137&amp;$F137))</formula>
    </cfRule>
  </conditionalFormatting>
  <conditionalFormatting sqref="F127 C127">
    <cfRule type="expression" dxfId="194" priority="459">
      <formula>IF(ISBLANK(#REF!),0,SEARCH(#REF!,#REF!&amp;#REF!&amp;#REF!&amp;#REF!&amp;#REF!&amp;#REF!))</formula>
    </cfRule>
  </conditionalFormatting>
  <conditionalFormatting sqref="F136">
    <cfRule type="expression" dxfId="193" priority="461">
      <formula>IF(ISBLANK(#REF!),0,SEARCH(#REF!,#REF!&amp;#REF!&amp;#REF!&amp;#REF!&amp;#REF!&amp;#REF!))</formula>
    </cfRule>
  </conditionalFormatting>
  <conditionalFormatting sqref="B134:B135 F134:F135">
    <cfRule type="expression" dxfId="192" priority="462">
      <formula>IF(ISBLANK(#REF!),0,SEARCH(#REF!,#REF!&amp;#REF!&amp;#REF!&amp;#REF!&amp;#REF!&amp;#REF!))</formula>
    </cfRule>
  </conditionalFormatting>
  <conditionalFormatting sqref="F128 D128:D130 B128:C128 A128:A131">
    <cfRule type="expression" dxfId="191" priority="464">
      <formula>IF(ISBLANK(#REF!),0,SEARCH(#REF!,#REF!&amp;#REF!&amp;#REF!&amp;#REF!&amp;#REF!&amp;#REF!))</formula>
    </cfRule>
  </conditionalFormatting>
  <conditionalFormatting sqref="E131:F131 B131:C132 F132 D133:D134">
    <cfRule type="expression" dxfId="190" priority="468">
      <formula>IF(ISBLANK(#REF!),0,SEARCH(#REF!,#REF!&amp;#REF!&amp;#REF!&amp;#REF!&amp;#REF!&amp;#REF!))</formula>
    </cfRule>
  </conditionalFormatting>
  <conditionalFormatting sqref="A135:A136">
    <cfRule type="expression" dxfId="189" priority="473">
      <formula>IF(ISBLANK(#REF!),0,SEARCH(#REF!,$A138&amp;$B138&amp;$C138&amp;$D138&amp;$E138&amp;$F138))</formula>
    </cfRule>
  </conditionalFormatting>
  <conditionalFormatting sqref="A246:F246 A250:G250 A268:F268 A270:F270 A275:F276 A285:F285 A287:F287 A293:F293">
    <cfRule type="expression" dxfId="188" priority="476">
      <formula>IF(ISBLANK(#REF!),0,SEARCH(#REF!,#REF!&amp;#REF!&amp;#REF!&amp;#REF!&amp;#REF!&amp;#REF!))</formula>
    </cfRule>
  </conditionalFormatting>
  <conditionalFormatting sqref="A290:F290">
    <cfRule type="expression" dxfId="187" priority="479">
      <formula>IF(ISBLANK(#REF!),0,SEARCH(#REF!,$A292&amp;$B292&amp;$C292&amp;$D292&amp;$E292&amp;$F292))</formula>
    </cfRule>
  </conditionalFormatting>
  <conditionalFormatting sqref="A291:F291">
    <cfRule type="expression" dxfId="186" priority="481">
      <formula>IF(ISBLANK(#REF!),0,SEARCH(#REF!,$A288&amp;$B288&amp;$C288&amp;$D288&amp;$E288&amp;$F288))</formula>
    </cfRule>
  </conditionalFormatting>
  <conditionalFormatting sqref="A371:F371 A375:F375">
    <cfRule type="expression" dxfId="185" priority="484">
      <formula>IF(ISBLANK(#REF!),0,SEARCH(#REF!,#REF!&amp;#REF!&amp;#REF!&amp;#REF!&amp;#REF!&amp;#REF!))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tabColor rgb="FF00B050"/>
  </sheetPr>
  <dimension ref="A1:N76"/>
  <sheetViews>
    <sheetView showZeros="0" zoomScale="130" zoomScaleNormal="130" workbookViewId="0">
      <selection activeCell="N7" sqref="M1:N7"/>
    </sheetView>
  </sheetViews>
  <sheetFormatPr defaultRowHeight="15" x14ac:dyDescent="0.25"/>
  <cols>
    <col min="1" max="1" width="2.7109375" bestFit="1" customWidth="1"/>
    <col min="2" max="2" width="11.28515625" customWidth="1"/>
    <col min="4" max="4" width="13.85546875" customWidth="1"/>
    <col min="5" max="5" width="10.140625" customWidth="1"/>
    <col min="13" max="13" width="10.42578125" bestFit="1" customWidth="1"/>
  </cols>
  <sheetData>
    <row r="1" spans="1:7" s="242" customFormat="1" ht="18.75" customHeight="1" x14ac:dyDescent="0.25">
      <c r="B1" s="243" t="s">
        <v>15</v>
      </c>
      <c r="C1" s="243" t="s">
        <v>17</v>
      </c>
      <c r="D1" s="243" t="s">
        <v>16</v>
      </c>
      <c r="E1" s="243" t="s">
        <v>18</v>
      </c>
      <c r="F1" s="243" t="s">
        <v>58</v>
      </c>
      <c r="G1" s="243" t="s">
        <v>143</v>
      </c>
    </row>
    <row r="2" spans="1:7" s="167" customFormat="1" ht="11.25" x14ac:dyDescent="0.2">
      <c r="A2" s="241">
        <v>1</v>
      </c>
      <c r="B2" s="383"/>
      <c r="C2" s="383"/>
      <c r="D2" s="383"/>
      <c r="E2" s="383"/>
      <c r="F2" s="383"/>
      <c r="G2" s="383"/>
    </row>
    <row r="3" spans="1:7" s="167" customFormat="1" ht="11.25" x14ac:dyDescent="0.2">
      <c r="A3" s="241">
        <v>2</v>
      </c>
      <c r="B3" s="383"/>
      <c r="C3" s="383"/>
      <c r="D3" s="383"/>
      <c r="E3" s="383"/>
      <c r="F3" s="383"/>
      <c r="G3" s="383"/>
    </row>
    <row r="4" spans="1:7" s="167" customFormat="1" ht="11.25" x14ac:dyDescent="0.2">
      <c r="A4" s="241">
        <v>3</v>
      </c>
      <c r="B4" s="383"/>
      <c r="C4" s="383"/>
      <c r="D4" s="383"/>
      <c r="E4" s="383"/>
      <c r="F4" s="383"/>
      <c r="G4" s="383"/>
    </row>
    <row r="5" spans="1:7" s="167" customFormat="1" ht="11.25" x14ac:dyDescent="0.2">
      <c r="A5" s="241">
        <v>4</v>
      </c>
      <c r="B5" s="383"/>
      <c r="C5" s="383"/>
      <c r="D5" s="383"/>
      <c r="E5" s="383"/>
      <c r="F5" s="383"/>
      <c r="G5" s="383"/>
    </row>
    <row r="6" spans="1:7" s="167" customFormat="1" ht="11.25" x14ac:dyDescent="0.2">
      <c r="A6" s="241">
        <v>5</v>
      </c>
      <c r="B6" s="383"/>
      <c r="C6" s="383"/>
      <c r="D6" s="383"/>
      <c r="E6" s="383"/>
      <c r="F6" s="383"/>
      <c r="G6" s="383"/>
    </row>
    <row r="7" spans="1:7" s="167" customFormat="1" ht="11.25" x14ac:dyDescent="0.2">
      <c r="A7" s="241">
        <v>6</v>
      </c>
      <c r="B7" s="383"/>
      <c r="C7" s="383"/>
      <c r="D7" s="383"/>
      <c r="E7" s="383"/>
      <c r="F7" s="383"/>
      <c r="G7" s="383"/>
    </row>
    <row r="8" spans="1:7" s="167" customFormat="1" ht="11.25" x14ac:dyDescent="0.2">
      <c r="A8" s="241">
        <v>7</v>
      </c>
      <c r="B8" s="383"/>
      <c r="C8" s="383"/>
      <c r="D8" s="383"/>
      <c r="E8" s="383"/>
      <c r="F8" s="383"/>
      <c r="G8" s="383"/>
    </row>
    <row r="9" spans="1:7" s="167" customFormat="1" ht="11.25" x14ac:dyDescent="0.2">
      <c r="A9" s="241">
        <v>8</v>
      </c>
      <c r="B9" s="383"/>
      <c r="C9" s="383"/>
      <c r="D9" s="383"/>
      <c r="E9" s="383"/>
      <c r="F9" s="383"/>
      <c r="G9" s="383"/>
    </row>
    <row r="10" spans="1:7" s="167" customFormat="1" ht="11.25" x14ac:dyDescent="0.2">
      <c r="A10" s="241">
        <v>9</v>
      </c>
      <c r="B10" s="383"/>
      <c r="C10" s="383"/>
      <c r="D10" s="383"/>
      <c r="E10" s="383"/>
      <c r="F10" s="383"/>
      <c r="G10" s="383"/>
    </row>
    <row r="11" spans="1:7" s="167" customFormat="1" ht="11.25" x14ac:dyDescent="0.2">
      <c r="A11" s="241">
        <v>10</v>
      </c>
      <c r="B11" s="383"/>
      <c r="C11" s="383"/>
      <c r="D11" s="383"/>
      <c r="E11" s="383"/>
      <c r="F11" s="383"/>
      <c r="G11" s="383"/>
    </row>
    <row r="12" spans="1:7" s="167" customFormat="1" ht="11.25" x14ac:dyDescent="0.2">
      <c r="A12" s="241">
        <v>11</v>
      </c>
      <c r="B12" s="383"/>
      <c r="C12" s="383"/>
      <c r="D12" s="383"/>
      <c r="E12" s="383"/>
      <c r="F12" s="383"/>
      <c r="G12" s="383"/>
    </row>
    <row r="13" spans="1:7" s="167" customFormat="1" ht="11.25" x14ac:dyDescent="0.2">
      <c r="A13" s="241">
        <v>12</v>
      </c>
      <c r="B13" s="383"/>
      <c r="C13" s="383"/>
      <c r="D13" s="383"/>
      <c r="E13" s="383"/>
      <c r="F13" s="383"/>
      <c r="G13" s="383"/>
    </row>
    <row r="14" spans="1:7" s="167" customFormat="1" ht="11.25" x14ac:dyDescent="0.2">
      <c r="A14" s="241">
        <v>13</v>
      </c>
      <c r="B14" s="383"/>
      <c r="C14" s="383"/>
      <c r="D14" s="383"/>
      <c r="E14" s="383"/>
      <c r="F14" s="383"/>
      <c r="G14" s="383"/>
    </row>
    <row r="15" spans="1:7" s="167" customFormat="1" ht="11.25" x14ac:dyDescent="0.2">
      <c r="A15" s="241">
        <v>14</v>
      </c>
      <c r="B15" s="383"/>
      <c r="C15" s="383"/>
      <c r="D15" s="383"/>
      <c r="E15" s="383"/>
      <c r="F15" s="383"/>
      <c r="G15" s="383"/>
    </row>
    <row r="16" spans="1:7" s="167" customFormat="1" ht="11.25" x14ac:dyDescent="0.2">
      <c r="A16" s="241">
        <v>15</v>
      </c>
      <c r="B16" s="383"/>
      <c r="C16" s="383"/>
      <c r="D16" s="383"/>
      <c r="E16" s="383"/>
      <c r="F16" s="383"/>
      <c r="G16" s="383"/>
    </row>
    <row r="17" spans="1:7" s="167" customFormat="1" ht="11.25" x14ac:dyDescent="0.2">
      <c r="A17" s="241">
        <v>16</v>
      </c>
      <c r="B17" s="383"/>
      <c r="C17" s="383"/>
      <c r="D17" s="383"/>
      <c r="E17" s="383"/>
      <c r="F17" s="383"/>
      <c r="G17" s="383"/>
    </row>
    <row r="18" spans="1:7" s="167" customFormat="1" ht="11.25" x14ac:dyDescent="0.2">
      <c r="A18" s="241">
        <v>17</v>
      </c>
      <c r="B18" s="383"/>
      <c r="C18" s="383"/>
      <c r="D18" s="383"/>
      <c r="E18" s="383"/>
      <c r="F18" s="383"/>
      <c r="G18" s="383"/>
    </row>
    <row r="19" spans="1:7" s="167" customFormat="1" ht="11.25" x14ac:dyDescent="0.2">
      <c r="A19" s="241">
        <v>18</v>
      </c>
      <c r="B19" s="383"/>
      <c r="C19" s="383"/>
      <c r="D19" s="383"/>
      <c r="E19" s="383"/>
      <c r="F19" s="383"/>
      <c r="G19" s="383"/>
    </row>
    <row r="20" spans="1:7" s="167" customFormat="1" ht="11.25" x14ac:dyDescent="0.2">
      <c r="A20" s="241">
        <v>19</v>
      </c>
      <c r="B20" s="383"/>
      <c r="C20" s="383"/>
      <c r="D20" s="383"/>
      <c r="E20" s="383"/>
      <c r="F20" s="383"/>
      <c r="G20" s="383"/>
    </row>
    <row r="21" spans="1:7" s="167" customFormat="1" ht="11.25" x14ac:dyDescent="0.2">
      <c r="A21" s="241">
        <v>20</v>
      </c>
      <c r="B21" s="383"/>
      <c r="C21" s="383"/>
      <c r="D21" s="383"/>
      <c r="E21" s="383"/>
      <c r="F21" s="383"/>
      <c r="G21" s="383"/>
    </row>
    <row r="22" spans="1:7" s="167" customFormat="1" ht="11.25" x14ac:dyDescent="0.2">
      <c r="A22" s="241">
        <v>21</v>
      </c>
      <c r="B22" s="383"/>
      <c r="C22" s="383"/>
      <c r="D22" s="383"/>
      <c r="E22" s="383"/>
      <c r="F22" s="383"/>
      <c r="G22" s="383"/>
    </row>
    <row r="23" spans="1:7" s="167" customFormat="1" ht="11.25" x14ac:dyDescent="0.2">
      <c r="A23" s="241">
        <v>22</v>
      </c>
      <c r="B23" s="383"/>
      <c r="C23" s="383"/>
      <c r="D23" s="383"/>
      <c r="E23" s="383"/>
      <c r="F23" s="383"/>
      <c r="G23" s="383"/>
    </row>
    <row r="24" spans="1:7" s="167" customFormat="1" ht="11.25" x14ac:dyDescent="0.2">
      <c r="A24" s="241">
        <v>23</v>
      </c>
      <c r="B24" s="383"/>
      <c r="C24" s="383"/>
      <c r="D24" s="383"/>
      <c r="E24" s="383"/>
      <c r="F24" s="383"/>
      <c r="G24" s="383"/>
    </row>
    <row r="25" spans="1:7" s="167" customFormat="1" ht="11.25" x14ac:dyDescent="0.2">
      <c r="A25" s="241">
        <v>24</v>
      </c>
      <c r="B25" s="383"/>
      <c r="C25" s="383"/>
      <c r="D25" s="383"/>
      <c r="E25" s="383"/>
      <c r="F25" s="383"/>
      <c r="G25" s="383"/>
    </row>
    <row r="26" spans="1:7" s="167" customFormat="1" ht="11.25" x14ac:dyDescent="0.2">
      <c r="A26" s="241">
        <v>25</v>
      </c>
      <c r="B26" s="383"/>
      <c r="C26" s="383"/>
      <c r="D26" s="383"/>
      <c r="E26" s="383"/>
      <c r="F26" s="383"/>
      <c r="G26" s="383"/>
    </row>
    <row r="27" spans="1:7" s="167" customFormat="1" ht="11.25" x14ac:dyDescent="0.2">
      <c r="B27" s="384">
        <f t="shared" ref="B27:G27" si="0">SUM(B2:B26)</f>
        <v>0</v>
      </c>
      <c r="C27" s="384">
        <f t="shared" si="0"/>
        <v>0</v>
      </c>
      <c r="D27" s="384">
        <f t="shared" si="0"/>
        <v>0</v>
      </c>
      <c r="E27" s="384">
        <f t="shared" si="0"/>
        <v>0</v>
      </c>
      <c r="F27" s="384">
        <f t="shared" si="0"/>
        <v>0</v>
      </c>
      <c r="G27" s="384">
        <f t="shared" si="0"/>
        <v>0</v>
      </c>
    </row>
    <row r="28" spans="1:7" s="167" customFormat="1" ht="11.25" x14ac:dyDescent="0.2"/>
    <row r="29" spans="1:7" s="167" customFormat="1" ht="11.25" x14ac:dyDescent="0.2"/>
    <row r="30" spans="1:7" s="167" customFormat="1" x14ac:dyDescent="0.2">
      <c r="A30" s="242"/>
      <c r="B30" s="264">
        <v>0.05</v>
      </c>
      <c r="C30" s="264">
        <v>0.12</v>
      </c>
      <c r="D30" s="264">
        <v>0.18</v>
      </c>
      <c r="E30" s="264">
        <v>0.28000000000000003</v>
      </c>
      <c r="F30" s="265"/>
      <c r="G30" s="266"/>
    </row>
    <row r="31" spans="1:7" s="167" customFormat="1" ht="11.25" x14ac:dyDescent="0.2">
      <c r="A31" s="241">
        <v>1</v>
      </c>
      <c r="B31" s="383"/>
      <c r="C31" s="383"/>
      <c r="D31" s="383"/>
      <c r="E31" s="383"/>
    </row>
    <row r="32" spans="1:7" s="167" customFormat="1" ht="11.25" x14ac:dyDescent="0.2">
      <c r="A32" s="241">
        <v>2</v>
      </c>
      <c r="B32" s="383"/>
      <c r="C32" s="383"/>
      <c r="D32" s="383"/>
      <c r="E32" s="383"/>
    </row>
    <row r="33" spans="1:5" s="167" customFormat="1" ht="11.25" x14ac:dyDescent="0.2">
      <c r="A33" s="241">
        <v>3</v>
      </c>
      <c r="B33" s="383"/>
      <c r="C33" s="383"/>
      <c r="D33" s="383"/>
      <c r="E33" s="383"/>
    </row>
    <row r="34" spans="1:5" s="167" customFormat="1" ht="11.25" x14ac:dyDescent="0.2">
      <c r="A34" s="241">
        <v>4</v>
      </c>
      <c r="B34" s="383"/>
      <c r="C34" s="383"/>
      <c r="D34" s="383"/>
      <c r="E34" s="383"/>
    </row>
    <row r="35" spans="1:5" s="167" customFormat="1" ht="11.25" x14ac:dyDescent="0.2">
      <c r="A35" s="241">
        <v>5</v>
      </c>
      <c r="B35" s="383"/>
      <c r="C35" s="383"/>
      <c r="D35" s="383"/>
      <c r="E35" s="383"/>
    </row>
    <row r="36" spans="1:5" s="167" customFormat="1" ht="11.25" x14ac:dyDescent="0.2">
      <c r="A36" s="241">
        <v>6</v>
      </c>
      <c r="B36" s="383"/>
      <c r="C36" s="383"/>
      <c r="D36" s="383"/>
      <c r="E36" s="383"/>
    </row>
    <row r="37" spans="1:5" s="167" customFormat="1" ht="11.25" x14ac:dyDescent="0.2">
      <c r="A37" s="241">
        <v>7</v>
      </c>
      <c r="B37" s="383"/>
      <c r="C37" s="383"/>
      <c r="D37" s="383"/>
      <c r="E37" s="383"/>
    </row>
    <row r="38" spans="1:5" s="167" customFormat="1" ht="11.25" x14ac:dyDescent="0.2">
      <c r="A38" s="241">
        <v>8</v>
      </c>
      <c r="B38" s="383"/>
      <c r="C38" s="383"/>
      <c r="D38" s="383"/>
      <c r="E38" s="383"/>
    </row>
    <row r="39" spans="1:5" s="167" customFormat="1" ht="11.25" x14ac:dyDescent="0.2">
      <c r="A39" s="241">
        <v>9</v>
      </c>
      <c r="B39" s="383"/>
      <c r="C39" s="383"/>
      <c r="D39" s="383"/>
      <c r="E39" s="383"/>
    </row>
    <row r="40" spans="1:5" s="167" customFormat="1" ht="11.25" x14ac:dyDescent="0.2">
      <c r="A40" s="241">
        <v>10</v>
      </c>
      <c r="B40" s="383"/>
      <c r="C40" s="383"/>
      <c r="D40" s="383"/>
      <c r="E40" s="383"/>
    </row>
    <row r="41" spans="1:5" s="167" customFormat="1" ht="11.25" x14ac:dyDescent="0.2">
      <c r="A41" s="241">
        <v>11</v>
      </c>
      <c r="B41" s="383"/>
      <c r="C41" s="383"/>
      <c r="D41" s="383"/>
      <c r="E41" s="383"/>
    </row>
    <row r="42" spans="1:5" s="167" customFormat="1" ht="11.25" x14ac:dyDescent="0.2">
      <c r="A42" s="241">
        <v>12</v>
      </c>
      <c r="B42" s="383"/>
      <c r="C42" s="383"/>
      <c r="D42" s="383"/>
      <c r="E42" s="383"/>
    </row>
    <row r="43" spans="1:5" s="167" customFormat="1" ht="11.25" x14ac:dyDescent="0.2">
      <c r="A43" s="241">
        <v>13</v>
      </c>
      <c r="B43" s="383"/>
      <c r="C43" s="383"/>
      <c r="D43" s="383"/>
      <c r="E43" s="383"/>
    </row>
    <row r="44" spans="1:5" s="167" customFormat="1" ht="11.25" x14ac:dyDescent="0.2">
      <c r="A44" s="241">
        <v>14</v>
      </c>
      <c r="B44" s="383"/>
      <c r="C44" s="383"/>
      <c r="D44" s="383"/>
      <c r="E44" s="383"/>
    </row>
    <row r="45" spans="1:5" s="167" customFormat="1" ht="11.25" x14ac:dyDescent="0.2">
      <c r="A45" s="241">
        <v>15</v>
      </c>
      <c r="B45" s="383"/>
      <c r="C45" s="383"/>
      <c r="D45" s="383"/>
      <c r="E45" s="383"/>
    </row>
    <row r="46" spans="1:5" s="167" customFormat="1" ht="11.25" x14ac:dyDescent="0.2">
      <c r="A46" s="241">
        <v>16</v>
      </c>
      <c r="B46" s="383"/>
      <c r="C46" s="383"/>
      <c r="D46" s="383"/>
      <c r="E46" s="383"/>
    </row>
    <row r="47" spans="1:5" s="167" customFormat="1" ht="11.25" x14ac:dyDescent="0.2">
      <c r="A47" s="241">
        <v>17</v>
      </c>
      <c r="B47" s="383"/>
      <c r="C47" s="383"/>
      <c r="D47" s="383"/>
      <c r="E47" s="383"/>
    </row>
    <row r="48" spans="1:5" s="167" customFormat="1" ht="11.25" x14ac:dyDescent="0.2">
      <c r="A48" s="241">
        <v>18</v>
      </c>
      <c r="B48" s="383"/>
      <c r="C48" s="383"/>
      <c r="D48" s="383"/>
      <c r="E48" s="383"/>
    </row>
    <row r="49" spans="1:5" s="167" customFormat="1" ht="11.25" x14ac:dyDescent="0.2">
      <c r="A49" s="241">
        <v>19</v>
      </c>
      <c r="B49" s="383"/>
      <c r="C49" s="383"/>
      <c r="D49" s="383"/>
      <c r="E49" s="383"/>
    </row>
    <row r="50" spans="1:5" s="167" customFormat="1" ht="11.25" x14ac:dyDescent="0.2">
      <c r="A50" s="241">
        <v>20</v>
      </c>
      <c r="B50" s="383"/>
      <c r="C50" s="383"/>
      <c r="D50" s="383"/>
      <c r="E50" s="383"/>
    </row>
    <row r="51" spans="1:5" s="167" customFormat="1" ht="11.25" x14ac:dyDescent="0.2">
      <c r="A51" s="241">
        <v>21</v>
      </c>
      <c r="B51" s="383"/>
      <c r="C51" s="383"/>
      <c r="D51" s="383"/>
      <c r="E51" s="383"/>
    </row>
    <row r="52" spans="1:5" s="167" customFormat="1" ht="11.25" x14ac:dyDescent="0.2">
      <c r="A52" s="241">
        <v>22</v>
      </c>
      <c r="B52" s="383"/>
      <c r="C52" s="383"/>
      <c r="D52" s="383"/>
      <c r="E52" s="383"/>
    </row>
    <row r="53" spans="1:5" s="167" customFormat="1" ht="11.25" x14ac:dyDescent="0.2">
      <c r="A53" s="241">
        <v>23</v>
      </c>
      <c r="B53" s="383"/>
      <c r="C53" s="383"/>
      <c r="D53" s="383"/>
      <c r="E53" s="383"/>
    </row>
    <row r="54" spans="1:5" s="167" customFormat="1" ht="11.25" x14ac:dyDescent="0.2">
      <c r="A54" s="241">
        <v>24</v>
      </c>
      <c r="B54" s="383"/>
      <c r="C54" s="383"/>
      <c r="D54" s="383"/>
      <c r="E54" s="383"/>
    </row>
    <row r="55" spans="1:5" s="167" customFormat="1" ht="11.25" x14ac:dyDescent="0.2">
      <c r="A55" s="241">
        <v>25</v>
      </c>
      <c r="B55" s="383"/>
      <c r="C55" s="383"/>
      <c r="D55" s="383"/>
      <c r="E55" s="383"/>
    </row>
    <row r="56" spans="1:5" s="167" customFormat="1" ht="11.25" x14ac:dyDescent="0.2">
      <c r="B56" s="383">
        <f>SUM(B31:B55)</f>
        <v>0</v>
      </c>
      <c r="C56" s="383">
        <f>SUM(C31:C55)</f>
        <v>0</v>
      </c>
      <c r="D56" s="383">
        <f>SUM(D31:D55)</f>
        <v>0</v>
      </c>
      <c r="E56" s="383">
        <f>SUM(E31:E55)</f>
        <v>0</v>
      </c>
    </row>
    <row r="57" spans="1:5" s="167" customFormat="1" ht="11.25" x14ac:dyDescent="0.2">
      <c r="B57" s="383">
        <f>B56*B30/2</f>
        <v>0</v>
      </c>
      <c r="C57" s="383">
        <f>C56*C30/2</f>
        <v>0</v>
      </c>
      <c r="D57" s="383">
        <f>D56*D30/2</f>
        <v>0</v>
      </c>
      <c r="E57" s="383">
        <f>E56*E30/2</f>
        <v>0</v>
      </c>
    </row>
    <row r="58" spans="1:5" s="167" customFormat="1" ht="11.25" x14ac:dyDescent="0.2"/>
    <row r="59" spans="1:5" s="167" customFormat="1" ht="11.25" x14ac:dyDescent="0.2"/>
    <row r="60" spans="1:5" s="167" customFormat="1" ht="11.25" x14ac:dyDescent="0.2"/>
    <row r="61" spans="1:5" s="167" customFormat="1" ht="11.25" x14ac:dyDescent="0.2"/>
    <row r="62" spans="1:5" s="167" customFormat="1" ht="11.25" x14ac:dyDescent="0.2"/>
    <row r="63" spans="1:5" s="167" customFormat="1" ht="11.25" x14ac:dyDescent="0.2"/>
    <row r="64" spans="1:5" s="167" customFormat="1" ht="11.25" x14ac:dyDescent="0.2"/>
    <row r="65" spans="3:14" s="167" customFormat="1" ht="11.25" x14ac:dyDescent="0.2">
      <c r="C65" s="167" t="s">
        <v>75</v>
      </c>
    </row>
    <row r="66" spans="3:14" s="167" customFormat="1" ht="11.25" x14ac:dyDescent="0.2"/>
    <row r="67" spans="3:14" s="167" customFormat="1" ht="11.25" x14ac:dyDescent="0.2"/>
    <row r="68" spans="3:14" s="167" customFormat="1" ht="11.25" x14ac:dyDescent="0.2"/>
    <row r="69" spans="3:14" s="167" customFormat="1" ht="11.25" x14ac:dyDescent="0.2"/>
    <row r="70" spans="3:14" s="167" customFormat="1" ht="11.25" x14ac:dyDescent="0.2"/>
    <row r="71" spans="3:14" s="167" customFormat="1" ht="11.25" x14ac:dyDescent="0.2"/>
    <row r="72" spans="3:14" s="167" customFormat="1" ht="11.25" x14ac:dyDescent="0.2"/>
    <row r="73" spans="3:14" s="167" customFormat="1" ht="11.25" x14ac:dyDescent="0.2"/>
    <row r="74" spans="3:14" s="167" customFormat="1" ht="11.25" x14ac:dyDescent="0.2"/>
    <row r="75" spans="3:14" s="167" customFormat="1" ht="11.25" x14ac:dyDescent="0.2"/>
    <row r="76" spans="3:14" s="167" customFormat="1" x14ac:dyDescent="0.25">
      <c r="M76"/>
      <c r="N76"/>
    </row>
  </sheetData>
  <pageMargins left="0.7" right="0.7" top="0.75" bottom="0.75" header="0.3" footer="0.3"/>
  <pageSetup orientation="portrait" horizontalDpi="4294967293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tabColor rgb="FF00B050"/>
  </sheetPr>
  <dimension ref="A1:G189"/>
  <sheetViews>
    <sheetView topLeftCell="A85" zoomScale="115" zoomScaleNormal="115" workbookViewId="0">
      <selection activeCell="I28" sqref="I28"/>
    </sheetView>
  </sheetViews>
  <sheetFormatPr defaultRowHeight="15" x14ac:dyDescent="0.25"/>
  <cols>
    <col min="1" max="1" width="9.140625" bestFit="1" customWidth="1"/>
    <col min="2" max="2" width="10.42578125" bestFit="1" customWidth="1"/>
    <col min="3" max="3" width="10" bestFit="1" customWidth="1"/>
    <col min="4" max="4" width="10.7109375" customWidth="1"/>
    <col min="5" max="5" width="19.85546875" customWidth="1"/>
    <col min="6" max="6" width="18.42578125" customWidth="1"/>
    <col min="7" max="7" width="10.7109375" style="247" bestFit="1" customWidth="1"/>
  </cols>
  <sheetData>
    <row r="1" spans="1:7" s="1" customFormat="1" x14ac:dyDescent="0.25">
      <c r="A1" s="66" t="s">
        <v>146</v>
      </c>
      <c r="B1" s="66" t="s">
        <v>14</v>
      </c>
      <c r="C1" s="66" t="s">
        <v>57</v>
      </c>
      <c r="D1" s="240" t="s">
        <v>144</v>
      </c>
      <c r="E1" s="66" t="s">
        <v>29</v>
      </c>
      <c r="F1" s="66" t="s">
        <v>145</v>
      </c>
      <c r="G1" s="246"/>
    </row>
    <row r="2" spans="1:7" x14ac:dyDescent="0.25">
      <c r="A2" t="s">
        <v>28</v>
      </c>
      <c r="B2" t="s">
        <v>15</v>
      </c>
      <c r="C2" s="244">
        <v>43192</v>
      </c>
      <c r="D2" s="245">
        <v>1847</v>
      </c>
      <c r="E2" t="s">
        <v>132</v>
      </c>
      <c r="F2" s="247">
        <v>4571.2760000000007</v>
      </c>
      <c r="G2"/>
    </row>
    <row r="3" spans="1:7" x14ac:dyDescent="0.25">
      <c r="A3" t="s">
        <v>28</v>
      </c>
      <c r="B3" t="s">
        <v>17</v>
      </c>
      <c r="C3" s="244">
        <v>43192</v>
      </c>
      <c r="D3" s="245">
        <v>1847</v>
      </c>
      <c r="E3" t="s">
        <v>132</v>
      </c>
      <c r="F3" s="247">
        <v>16282.037999999997</v>
      </c>
      <c r="G3"/>
    </row>
    <row r="4" spans="1:7" x14ac:dyDescent="0.25">
      <c r="A4" t="s">
        <v>28</v>
      </c>
      <c r="B4" t="s">
        <v>17</v>
      </c>
      <c r="C4" s="244">
        <v>43192</v>
      </c>
      <c r="D4" s="245">
        <v>1848</v>
      </c>
      <c r="E4" t="s">
        <v>130</v>
      </c>
      <c r="F4" s="247">
        <v>18769.218000000001</v>
      </c>
      <c r="G4"/>
    </row>
    <row r="5" spans="1:7" x14ac:dyDescent="0.25">
      <c r="A5" t="s">
        <v>28</v>
      </c>
      <c r="B5" t="s">
        <v>16</v>
      </c>
      <c r="C5" s="244">
        <v>43192</v>
      </c>
      <c r="D5" s="245">
        <v>1848</v>
      </c>
      <c r="E5" t="s">
        <v>130</v>
      </c>
      <c r="F5" s="247">
        <v>2138.183</v>
      </c>
      <c r="G5"/>
    </row>
    <row r="6" spans="1:7" x14ac:dyDescent="0.25">
      <c r="A6" t="s">
        <v>28</v>
      </c>
      <c r="B6" t="s">
        <v>18</v>
      </c>
      <c r="C6" s="244">
        <v>43192</v>
      </c>
      <c r="D6" s="245">
        <v>1848</v>
      </c>
      <c r="E6" t="s">
        <v>130</v>
      </c>
      <c r="F6" s="247">
        <v>613.56700000000001</v>
      </c>
      <c r="G6"/>
    </row>
    <row r="7" spans="1:7" x14ac:dyDescent="0.25">
      <c r="A7" t="s">
        <v>28</v>
      </c>
      <c r="B7" t="s">
        <v>15</v>
      </c>
      <c r="C7" s="244">
        <v>43192</v>
      </c>
      <c r="D7" s="245">
        <v>1849</v>
      </c>
      <c r="E7" t="s">
        <v>130</v>
      </c>
      <c r="F7" s="247">
        <v>15563.519</v>
      </c>
      <c r="G7"/>
    </row>
    <row r="8" spans="1:7" x14ac:dyDescent="0.25">
      <c r="A8" t="s">
        <v>28</v>
      </c>
      <c r="B8" t="s">
        <v>15</v>
      </c>
      <c r="C8" s="244">
        <v>43192</v>
      </c>
      <c r="D8" s="245">
        <v>1850</v>
      </c>
      <c r="E8" t="s">
        <v>133</v>
      </c>
      <c r="F8" s="247">
        <v>2131.9209999999998</v>
      </c>
      <c r="G8"/>
    </row>
    <row r="9" spans="1:7" x14ac:dyDescent="0.25">
      <c r="A9" t="s">
        <v>28</v>
      </c>
      <c r="B9" t="s">
        <v>17</v>
      </c>
      <c r="C9" s="244">
        <v>43192</v>
      </c>
      <c r="D9" s="245">
        <v>1850</v>
      </c>
      <c r="E9" t="s">
        <v>133</v>
      </c>
      <c r="F9" s="247">
        <v>9153.8310000000001</v>
      </c>
      <c r="G9"/>
    </row>
    <row r="10" spans="1:7" x14ac:dyDescent="0.25">
      <c r="A10" t="s">
        <v>28</v>
      </c>
      <c r="B10" t="s">
        <v>15</v>
      </c>
      <c r="C10" s="244">
        <v>43193</v>
      </c>
      <c r="D10" s="245">
        <v>1851</v>
      </c>
      <c r="E10" t="s">
        <v>131</v>
      </c>
      <c r="F10" s="247">
        <v>1260</v>
      </c>
      <c r="G10"/>
    </row>
    <row r="11" spans="1:7" x14ac:dyDescent="0.25">
      <c r="A11" t="s">
        <v>28</v>
      </c>
      <c r="B11" t="s">
        <v>17</v>
      </c>
      <c r="C11" s="244">
        <v>43193</v>
      </c>
      <c r="D11" s="245">
        <v>1851</v>
      </c>
      <c r="E11" t="s">
        <v>131</v>
      </c>
      <c r="F11" s="247">
        <v>10205.119000000001</v>
      </c>
      <c r="G11"/>
    </row>
    <row r="12" spans="1:7" x14ac:dyDescent="0.25">
      <c r="A12" t="s">
        <v>28</v>
      </c>
      <c r="B12" t="s">
        <v>16</v>
      </c>
      <c r="C12" s="244">
        <v>43193</v>
      </c>
      <c r="D12" s="245">
        <v>1851</v>
      </c>
      <c r="E12" t="s">
        <v>131</v>
      </c>
      <c r="F12" s="247">
        <v>2138.183</v>
      </c>
      <c r="G12"/>
    </row>
    <row r="13" spans="1:7" x14ac:dyDescent="0.25">
      <c r="A13" t="s">
        <v>28</v>
      </c>
      <c r="B13" t="s">
        <v>18</v>
      </c>
      <c r="C13" s="244">
        <v>43193</v>
      </c>
      <c r="D13" s="245">
        <v>1851</v>
      </c>
      <c r="E13" t="s">
        <v>131</v>
      </c>
      <c r="F13" s="247">
        <v>1227.135</v>
      </c>
      <c r="G13"/>
    </row>
    <row r="14" spans="1:7" x14ac:dyDescent="0.25">
      <c r="A14" t="s">
        <v>28</v>
      </c>
      <c r="B14" t="s">
        <v>17</v>
      </c>
      <c r="C14" s="244">
        <v>43193</v>
      </c>
      <c r="D14" s="245">
        <v>1852</v>
      </c>
      <c r="E14" t="s">
        <v>121</v>
      </c>
      <c r="F14" s="247">
        <v>8435.8950000000004</v>
      </c>
      <c r="G14"/>
    </row>
    <row r="15" spans="1:7" x14ac:dyDescent="0.25">
      <c r="A15" t="s">
        <v>28</v>
      </c>
      <c r="B15" t="s">
        <v>16</v>
      </c>
      <c r="C15" s="244">
        <v>43193</v>
      </c>
      <c r="D15" s="245">
        <v>1852</v>
      </c>
      <c r="E15" t="s">
        <v>121</v>
      </c>
      <c r="F15" s="247">
        <v>3207.2730000000001</v>
      </c>
      <c r="G15"/>
    </row>
    <row r="16" spans="1:7" x14ac:dyDescent="0.25">
      <c r="A16" t="s">
        <v>28</v>
      </c>
      <c r="B16" t="s">
        <v>15</v>
      </c>
      <c r="C16" s="244">
        <v>43193</v>
      </c>
      <c r="D16" s="245">
        <v>1853</v>
      </c>
      <c r="E16" t="s">
        <v>124</v>
      </c>
      <c r="F16" s="247">
        <v>3485.1610000000001</v>
      </c>
      <c r="G16"/>
    </row>
    <row r="17" spans="1:7" x14ac:dyDescent="0.25">
      <c r="A17" t="s">
        <v>28</v>
      </c>
      <c r="B17" t="s">
        <v>17</v>
      </c>
      <c r="C17" s="244">
        <v>43193</v>
      </c>
      <c r="D17" s="245">
        <v>1853</v>
      </c>
      <c r="E17" t="s">
        <v>124</v>
      </c>
      <c r="F17" s="247">
        <v>15230.75</v>
      </c>
      <c r="G17"/>
    </row>
    <row r="18" spans="1:7" x14ac:dyDescent="0.25">
      <c r="A18" t="s">
        <v>28</v>
      </c>
      <c r="B18" t="s">
        <v>16</v>
      </c>
      <c r="C18" s="244">
        <v>43193</v>
      </c>
      <c r="D18" s="245">
        <v>1853</v>
      </c>
      <c r="E18" t="s">
        <v>124</v>
      </c>
      <c r="F18" s="247">
        <v>8018.1819999999998</v>
      </c>
      <c r="G18"/>
    </row>
    <row r="19" spans="1:7" x14ac:dyDescent="0.25">
      <c r="A19" t="s">
        <v>28</v>
      </c>
      <c r="B19" t="s">
        <v>18</v>
      </c>
      <c r="C19" s="244">
        <v>43193</v>
      </c>
      <c r="D19" s="245">
        <v>1853</v>
      </c>
      <c r="E19" t="s">
        <v>124</v>
      </c>
      <c r="F19" s="247">
        <v>613.56700000000001</v>
      </c>
      <c r="G19"/>
    </row>
    <row r="20" spans="1:7" x14ac:dyDescent="0.25">
      <c r="A20" t="s">
        <v>28</v>
      </c>
      <c r="B20" t="s">
        <v>190</v>
      </c>
      <c r="C20" s="244">
        <v>43193</v>
      </c>
      <c r="D20" s="245">
        <v>1853</v>
      </c>
      <c r="E20" t="s">
        <v>124</v>
      </c>
      <c r="F20" s="247">
        <v>1034.482</v>
      </c>
      <c r="G20"/>
    </row>
    <row r="21" spans="1:7" x14ac:dyDescent="0.25">
      <c r="A21" t="s">
        <v>28</v>
      </c>
      <c r="B21" t="s">
        <v>191</v>
      </c>
      <c r="C21" s="244">
        <v>43193</v>
      </c>
      <c r="D21" s="245">
        <v>1853</v>
      </c>
      <c r="E21" t="s">
        <v>124</v>
      </c>
      <c r="F21" s="247">
        <v>1387.44</v>
      </c>
      <c r="G21"/>
    </row>
    <row r="22" spans="1:7" x14ac:dyDescent="0.25">
      <c r="A22" t="s">
        <v>28</v>
      </c>
      <c r="B22" t="s">
        <v>15</v>
      </c>
      <c r="C22" s="244">
        <v>43194</v>
      </c>
      <c r="D22" s="245">
        <v>1854</v>
      </c>
      <c r="E22" t="s">
        <v>130</v>
      </c>
      <c r="F22" s="247">
        <v>10372.321</v>
      </c>
      <c r="G22"/>
    </row>
    <row r="23" spans="1:7" x14ac:dyDescent="0.25">
      <c r="A23" t="s">
        <v>28</v>
      </c>
      <c r="B23" t="s">
        <v>16</v>
      </c>
      <c r="C23" s="244">
        <v>43194</v>
      </c>
      <c r="D23" s="245">
        <v>1855</v>
      </c>
      <c r="E23" t="s">
        <v>132</v>
      </c>
      <c r="F23" s="247">
        <v>3207.2730000000001</v>
      </c>
      <c r="G23"/>
    </row>
    <row r="24" spans="1:7" x14ac:dyDescent="0.25">
      <c r="A24" t="s">
        <v>28</v>
      </c>
      <c r="B24" t="s">
        <v>18</v>
      </c>
      <c r="C24" s="244">
        <v>43194</v>
      </c>
      <c r="D24" s="245">
        <v>1855</v>
      </c>
      <c r="E24" t="s">
        <v>132</v>
      </c>
      <c r="F24" s="247">
        <v>409.04500000000002</v>
      </c>
      <c r="G24"/>
    </row>
    <row r="25" spans="1:7" x14ac:dyDescent="0.25">
      <c r="A25" t="s">
        <v>28</v>
      </c>
      <c r="B25" t="s">
        <v>190</v>
      </c>
      <c r="C25" s="244">
        <v>43194</v>
      </c>
      <c r="D25" s="245">
        <v>1855</v>
      </c>
      <c r="E25" t="s">
        <v>132</v>
      </c>
      <c r="F25" s="247">
        <v>641.37900000000002</v>
      </c>
      <c r="G25"/>
    </row>
    <row r="26" spans="1:7" x14ac:dyDescent="0.25">
      <c r="A26" t="s">
        <v>28</v>
      </c>
      <c r="B26" t="s">
        <v>16</v>
      </c>
      <c r="C26" s="244">
        <v>43194</v>
      </c>
      <c r="D26" s="245">
        <v>1856</v>
      </c>
      <c r="E26" t="s">
        <v>125</v>
      </c>
      <c r="F26" s="247">
        <v>5879.9989999999998</v>
      </c>
      <c r="G26"/>
    </row>
    <row r="27" spans="1:7" x14ac:dyDescent="0.25">
      <c r="A27" t="s">
        <v>28</v>
      </c>
      <c r="B27" t="s">
        <v>18</v>
      </c>
      <c r="C27" s="244">
        <v>43194</v>
      </c>
      <c r="D27" s="245">
        <v>1856</v>
      </c>
      <c r="E27" t="s">
        <v>125</v>
      </c>
      <c r="F27" s="247">
        <v>613.56700000000001</v>
      </c>
      <c r="G27"/>
    </row>
    <row r="28" spans="1:7" x14ac:dyDescent="0.25">
      <c r="A28" t="s">
        <v>28</v>
      </c>
      <c r="B28" t="s">
        <v>15</v>
      </c>
      <c r="C28" s="244">
        <v>43194</v>
      </c>
      <c r="D28" s="245">
        <v>1858</v>
      </c>
      <c r="E28" t="s">
        <v>124</v>
      </c>
      <c r="F28" s="247">
        <v>9611.2739999999994</v>
      </c>
      <c r="G28"/>
    </row>
    <row r="29" spans="1:7" x14ac:dyDescent="0.25">
      <c r="A29" t="s">
        <v>28</v>
      </c>
      <c r="B29" t="s">
        <v>15</v>
      </c>
      <c r="C29" s="244">
        <v>43195</v>
      </c>
      <c r="D29" s="245">
        <v>1859</v>
      </c>
      <c r="E29" t="s">
        <v>129</v>
      </c>
      <c r="F29" s="247">
        <v>18658.07</v>
      </c>
      <c r="G29"/>
    </row>
    <row r="30" spans="1:7" x14ac:dyDescent="0.25">
      <c r="A30" t="s">
        <v>28</v>
      </c>
      <c r="B30" t="s">
        <v>17</v>
      </c>
      <c r="C30" s="244">
        <v>43195</v>
      </c>
      <c r="D30" s="245">
        <v>1859</v>
      </c>
      <c r="E30" t="s">
        <v>129</v>
      </c>
      <c r="F30" s="247">
        <v>6277.7679999999991</v>
      </c>
      <c r="G30"/>
    </row>
    <row r="31" spans="1:7" x14ac:dyDescent="0.25">
      <c r="A31" t="s">
        <v>28</v>
      </c>
      <c r="B31" t="s">
        <v>16</v>
      </c>
      <c r="C31" s="244">
        <v>43195</v>
      </c>
      <c r="D31" s="245">
        <v>1859</v>
      </c>
      <c r="E31" t="s">
        <v>129</v>
      </c>
      <c r="F31" s="247">
        <v>6414.5479999999998</v>
      </c>
      <c r="G31"/>
    </row>
    <row r="32" spans="1:7" x14ac:dyDescent="0.25">
      <c r="A32" t="s">
        <v>28</v>
      </c>
      <c r="B32" t="s">
        <v>18</v>
      </c>
      <c r="C32" s="244">
        <v>43195</v>
      </c>
      <c r="D32" s="245">
        <v>1859</v>
      </c>
      <c r="E32" t="s">
        <v>129</v>
      </c>
      <c r="F32" s="247">
        <v>971.48099999999999</v>
      </c>
      <c r="G32"/>
    </row>
    <row r="33" spans="1:7" x14ac:dyDescent="0.25">
      <c r="A33" t="s">
        <v>28</v>
      </c>
      <c r="B33" t="s">
        <v>190</v>
      </c>
      <c r="C33" s="244">
        <v>43195</v>
      </c>
      <c r="D33" s="245">
        <v>1859</v>
      </c>
      <c r="E33" t="s">
        <v>129</v>
      </c>
      <c r="F33" s="247">
        <v>1117.24</v>
      </c>
      <c r="G33"/>
    </row>
    <row r="34" spans="1:7" x14ac:dyDescent="0.25">
      <c r="A34" t="s">
        <v>28</v>
      </c>
      <c r="B34" t="s">
        <v>15</v>
      </c>
      <c r="C34" s="244">
        <v>43195</v>
      </c>
      <c r="D34" s="245">
        <v>1860</v>
      </c>
      <c r="E34" t="s">
        <v>128</v>
      </c>
      <c r="F34" s="247">
        <v>19283.037999999997</v>
      </c>
      <c r="G34"/>
    </row>
    <row r="35" spans="1:7" x14ac:dyDescent="0.25">
      <c r="A35" t="s">
        <v>28</v>
      </c>
      <c r="B35" t="s">
        <v>15</v>
      </c>
      <c r="C35" s="244">
        <v>43195</v>
      </c>
      <c r="D35" s="245">
        <v>1861</v>
      </c>
      <c r="E35" t="s">
        <v>128</v>
      </c>
      <c r="F35" s="247">
        <v>1915.2</v>
      </c>
      <c r="G35"/>
    </row>
    <row r="36" spans="1:7" x14ac:dyDescent="0.25">
      <c r="A36" t="s">
        <v>28</v>
      </c>
      <c r="B36" t="s">
        <v>17</v>
      </c>
      <c r="C36" s="244">
        <v>43195</v>
      </c>
      <c r="D36" s="245">
        <v>1861</v>
      </c>
      <c r="E36" t="s">
        <v>128</v>
      </c>
      <c r="F36" s="247">
        <v>14205.108</v>
      </c>
      <c r="G36"/>
    </row>
    <row r="37" spans="1:7" x14ac:dyDescent="0.25">
      <c r="A37" t="s">
        <v>28</v>
      </c>
      <c r="B37" t="s">
        <v>16</v>
      </c>
      <c r="C37" s="244">
        <v>43195</v>
      </c>
      <c r="D37" s="245">
        <v>1861</v>
      </c>
      <c r="E37" t="s">
        <v>128</v>
      </c>
      <c r="F37" s="247">
        <v>5345.4549999999999</v>
      </c>
      <c r="G37"/>
    </row>
    <row r="38" spans="1:7" x14ac:dyDescent="0.25">
      <c r="A38" t="s">
        <v>28</v>
      </c>
      <c r="B38" t="s">
        <v>18</v>
      </c>
      <c r="C38" s="244">
        <v>43195</v>
      </c>
      <c r="D38" s="245">
        <v>1861</v>
      </c>
      <c r="E38" t="s">
        <v>128</v>
      </c>
      <c r="F38" s="247">
        <v>1051.585</v>
      </c>
      <c r="G38"/>
    </row>
    <row r="39" spans="1:7" x14ac:dyDescent="0.25">
      <c r="A39" t="s">
        <v>28</v>
      </c>
      <c r="B39" t="s">
        <v>190</v>
      </c>
      <c r="C39" s="244">
        <v>43195</v>
      </c>
      <c r="D39" s="245">
        <v>1861</v>
      </c>
      <c r="E39" t="s">
        <v>128</v>
      </c>
      <c r="F39" s="247">
        <v>1799.999</v>
      </c>
      <c r="G39"/>
    </row>
    <row r="40" spans="1:7" x14ac:dyDescent="0.25">
      <c r="A40" t="s">
        <v>28</v>
      </c>
      <c r="B40" t="s">
        <v>15</v>
      </c>
      <c r="C40" s="244">
        <v>43196</v>
      </c>
      <c r="D40" s="245">
        <v>1862</v>
      </c>
      <c r="E40" t="s">
        <v>126</v>
      </c>
      <c r="F40" s="247">
        <v>2536.8000000000002</v>
      </c>
      <c r="G40"/>
    </row>
    <row r="41" spans="1:7" x14ac:dyDescent="0.25">
      <c r="A41" t="s">
        <v>28</v>
      </c>
      <c r="B41" t="s">
        <v>17</v>
      </c>
      <c r="C41" s="244">
        <v>43196</v>
      </c>
      <c r="D41" s="245">
        <v>1862</v>
      </c>
      <c r="E41" t="s">
        <v>126</v>
      </c>
      <c r="F41" s="247">
        <v>13931.626999999999</v>
      </c>
      <c r="G41"/>
    </row>
    <row r="42" spans="1:7" x14ac:dyDescent="0.25">
      <c r="A42" t="s">
        <v>28</v>
      </c>
      <c r="B42" t="s">
        <v>16</v>
      </c>
      <c r="C42" s="244">
        <v>43196</v>
      </c>
      <c r="D42" s="245">
        <v>1862</v>
      </c>
      <c r="E42" t="s">
        <v>126</v>
      </c>
      <c r="F42" s="247">
        <v>3207.2730000000001</v>
      </c>
      <c r="G42"/>
    </row>
    <row r="43" spans="1:7" x14ac:dyDescent="0.25">
      <c r="A43" t="s">
        <v>28</v>
      </c>
      <c r="B43" t="s">
        <v>15</v>
      </c>
      <c r="C43" s="244">
        <v>43196</v>
      </c>
      <c r="D43" s="245">
        <v>1863</v>
      </c>
      <c r="E43" t="s">
        <v>123</v>
      </c>
      <c r="F43" s="247">
        <v>9975.8410000000003</v>
      </c>
      <c r="G43"/>
    </row>
    <row r="44" spans="1:7" x14ac:dyDescent="0.25">
      <c r="A44" t="s">
        <v>28</v>
      </c>
      <c r="B44" t="s">
        <v>17</v>
      </c>
      <c r="C44" s="244">
        <v>43196</v>
      </c>
      <c r="D44" s="245">
        <v>1863</v>
      </c>
      <c r="E44" t="s">
        <v>123</v>
      </c>
      <c r="F44" s="247">
        <v>12269.217000000001</v>
      </c>
      <c r="G44"/>
    </row>
    <row r="45" spans="1:7" x14ac:dyDescent="0.25">
      <c r="A45" t="s">
        <v>28</v>
      </c>
      <c r="B45" t="s">
        <v>16</v>
      </c>
      <c r="C45" s="244">
        <v>43196</v>
      </c>
      <c r="D45" s="245">
        <v>1863</v>
      </c>
      <c r="E45" t="s">
        <v>123</v>
      </c>
      <c r="F45" s="247">
        <v>2138.183</v>
      </c>
      <c r="G45"/>
    </row>
    <row r="46" spans="1:7" x14ac:dyDescent="0.25">
      <c r="A46" t="s">
        <v>28</v>
      </c>
      <c r="B46" t="s">
        <v>18</v>
      </c>
      <c r="C46" s="244">
        <v>43196</v>
      </c>
      <c r="D46" s="245">
        <v>1863</v>
      </c>
      <c r="E46" t="s">
        <v>123</v>
      </c>
      <c r="F46" s="247">
        <v>506.19200000000001</v>
      </c>
      <c r="G46"/>
    </row>
    <row r="47" spans="1:7" x14ac:dyDescent="0.25">
      <c r="A47" t="s">
        <v>28</v>
      </c>
      <c r="B47" t="s">
        <v>190</v>
      </c>
      <c r="C47" s="244">
        <v>43196</v>
      </c>
      <c r="D47" s="245">
        <v>1863</v>
      </c>
      <c r="E47" t="s">
        <v>123</v>
      </c>
      <c r="F47" s="247">
        <v>1372.414</v>
      </c>
      <c r="G47"/>
    </row>
    <row r="48" spans="1:7" x14ac:dyDescent="0.25">
      <c r="A48" t="s">
        <v>28</v>
      </c>
      <c r="B48" t="s">
        <v>191</v>
      </c>
      <c r="C48" s="244">
        <v>43196</v>
      </c>
      <c r="D48" s="245">
        <v>1863</v>
      </c>
      <c r="E48" t="s">
        <v>123</v>
      </c>
      <c r="F48" s="247">
        <v>1730.1999999999998</v>
      </c>
      <c r="G48"/>
    </row>
    <row r="49" spans="1:7" x14ac:dyDescent="0.25">
      <c r="A49" t="s">
        <v>28</v>
      </c>
      <c r="B49" t="s">
        <v>17</v>
      </c>
      <c r="C49" s="244">
        <v>43196</v>
      </c>
      <c r="D49" s="245">
        <v>1864</v>
      </c>
      <c r="E49" t="s">
        <v>123</v>
      </c>
      <c r="F49" s="247">
        <v>2769.2370000000001</v>
      </c>
      <c r="G49"/>
    </row>
    <row r="50" spans="1:7" x14ac:dyDescent="0.25">
      <c r="A50" t="s">
        <v>28</v>
      </c>
      <c r="B50" t="s">
        <v>17</v>
      </c>
      <c r="C50" s="244">
        <v>43196</v>
      </c>
      <c r="D50" s="245">
        <v>1865</v>
      </c>
      <c r="E50" t="s">
        <v>126</v>
      </c>
      <c r="F50" s="247">
        <v>3897.4320000000002</v>
      </c>
      <c r="G50"/>
    </row>
    <row r="51" spans="1:7" x14ac:dyDescent="0.25">
      <c r="A51" t="s">
        <v>28</v>
      </c>
      <c r="B51" t="s">
        <v>17</v>
      </c>
      <c r="C51" s="244">
        <v>43198</v>
      </c>
      <c r="D51" s="245">
        <v>1866</v>
      </c>
      <c r="E51" t="s">
        <v>122</v>
      </c>
      <c r="F51" s="247">
        <v>4102.5590000000002</v>
      </c>
      <c r="G51"/>
    </row>
    <row r="52" spans="1:7" x14ac:dyDescent="0.25">
      <c r="A52" t="s">
        <v>28</v>
      </c>
      <c r="B52" t="s">
        <v>17</v>
      </c>
      <c r="C52" s="244">
        <v>43197</v>
      </c>
      <c r="D52" s="245">
        <v>1866</v>
      </c>
      <c r="E52" t="s">
        <v>122</v>
      </c>
      <c r="F52" s="247">
        <v>4102.5590000000002</v>
      </c>
      <c r="G52"/>
    </row>
    <row r="53" spans="1:7" x14ac:dyDescent="0.25">
      <c r="A53" t="s">
        <v>28</v>
      </c>
      <c r="B53" t="s">
        <v>17</v>
      </c>
      <c r="C53" s="244">
        <v>43198</v>
      </c>
      <c r="D53" s="245">
        <v>1867</v>
      </c>
      <c r="E53" t="s">
        <v>124</v>
      </c>
      <c r="F53" s="247">
        <v>6564.0859999999993</v>
      </c>
      <c r="G53"/>
    </row>
    <row r="54" spans="1:7" x14ac:dyDescent="0.25">
      <c r="A54" t="s">
        <v>28</v>
      </c>
      <c r="B54" t="s">
        <v>17</v>
      </c>
      <c r="C54" s="244">
        <v>43197</v>
      </c>
      <c r="D54" s="245">
        <v>1867</v>
      </c>
      <c r="E54" t="s">
        <v>124</v>
      </c>
      <c r="F54" s="247">
        <v>6564.0859999999993</v>
      </c>
      <c r="G54"/>
    </row>
    <row r="55" spans="1:7" x14ac:dyDescent="0.25">
      <c r="A55" t="s">
        <v>28</v>
      </c>
      <c r="B55" t="s">
        <v>15</v>
      </c>
      <c r="C55" s="244">
        <v>43197</v>
      </c>
      <c r="D55" s="245">
        <v>1868</v>
      </c>
      <c r="E55" t="s">
        <v>125</v>
      </c>
      <c r="F55" s="247">
        <v>13866.722</v>
      </c>
      <c r="G55"/>
    </row>
    <row r="56" spans="1:7" x14ac:dyDescent="0.25">
      <c r="A56" t="s">
        <v>28</v>
      </c>
      <c r="B56" t="s">
        <v>17</v>
      </c>
      <c r="C56" s="244">
        <v>43197</v>
      </c>
      <c r="D56" s="245">
        <v>1868</v>
      </c>
      <c r="E56" t="s">
        <v>125</v>
      </c>
      <c r="F56" s="247">
        <v>4102.5630000000001</v>
      </c>
      <c r="G56"/>
    </row>
    <row r="57" spans="1:7" x14ac:dyDescent="0.25">
      <c r="A57" t="s">
        <v>28</v>
      </c>
      <c r="B57" t="s">
        <v>15</v>
      </c>
      <c r="C57" s="244">
        <v>43199</v>
      </c>
      <c r="D57" s="245">
        <v>1869</v>
      </c>
      <c r="E57" t="s">
        <v>130</v>
      </c>
      <c r="F57" s="247">
        <v>10005.032999999999</v>
      </c>
      <c r="G57"/>
    </row>
    <row r="58" spans="1:7" x14ac:dyDescent="0.25">
      <c r="A58" t="s">
        <v>28</v>
      </c>
      <c r="B58" t="s">
        <v>15</v>
      </c>
      <c r="C58" s="244">
        <v>43200</v>
      </c>
      <c r="D58" s="245">
        <v>1870</v>
      </c>
      <c r="E58" t="s">
        <v>128</v>
      </c>
      <c r="F58" s="247">
        <v>14993.996999999999</v>
      </c>
      <c r="G58"/>
    </row>
    <row r="59" spans="1:7" x14ac:dyDescent="0.25">
      <c r="A59" t="s">
        <v>28</v>
      </c>
      <c r="B59" t="s">
        <v>16</v>
      </c>
      <c r="C59" s="244">
        <v>43200</v>
      </c>
      <c r="D59" s="245">
        <v>1870</v>
      </c>
      <c r="E59" t="s">
        <v>128</v>
      </c>
      <c r="F59" s="247">
        <v>3741.819</v>
      </c>
      <c r="G59"/>
    </row>
    <row r="60" spans="1:7" x14ac:dyDescent="0.25">
      <c r="A60" t="s">
        <v>28</v>
      </c>
      <c r="B60" t="s">
        <v>17</v>
      </c>
      <c r="C60" s="244">
        <v>43200</v>
      </c>
      <c r="D60" s="245">
        <v>1871</v>
      </c>
      <c r="E60" t="s">
        <v>134</v>
      </c>
      <c r="F60" s="247">
        <v>4166.6639999999998</v>
      </c>
      <c r="G60"/>
    </row>
    <row r="61" spans="1:7" x14ac:dyDescent="0.25">
      <c r="A61" t="s">
        <v>28</v>
      </c>
      <c r="B61" t="s">
        <v>16</v>
      </c>
      <c r="C61" s="244">
        <v>43201</v>
      </c>
      <c r="D61" s="245">
        <v>1872</v>
      </c>
      <c r="E61" t="s">
        <v>130</v>
      </c>
      <c r="F61" s="247">
        <v>427.63600000000002</v>
      </c>
      <c r="G61"/>
    </row>
    <row r="62" spans="1:7" x14ac:dyDescent="0.25">
      <c r="A62" t="s">
        <v>28</v>
      </c>
      <c r="B62" t="s">
        <v>18</v>
      </c>
      <c r="C62" s="244">
        <v>43201</v>
      </c>
      <c r="D62" s="245">
        <v>1872</v>
      </c>
      <c r="E62" t="s">
        <v>130</v>
      </c>
      <c r="F62" s="247">
        <v>1012.384</v>
      </c>
      <c r="G62"/>
    </row>
    <row r="63" spans="1:7" x14ac:dyDescent="0.25">
      <c r="A63" t="s">
        <v>28</v>
      </c>
      <c r="B63" t="s">
        <v>190</v>
      </c>
      <c r="C63" s="244">
        <v>43201</v>
      </c>
      <c r="D63" s="245">
        <v>1872</v>
      </c>
      <c r="E63" t="s">
        <v>130</v>
      </c>
      <c r="F63" s="247">
        <v>1034.482</v>
      </c>
      <c r="G63"/>
    </row>
    <row r="64" spans="1:7" x14ac:dyDescent="0.25">
      <c r="A64" t="s">
        <v>28</v>
      </c>
      <c r="B64" t="s">
        <v>191</v>
      </c>
      <c r="C64" s="244">
        <v>43201</v>
      </c>
      <c r="D64" s="245">
        <v>1872</v>
      </c>
      <c r="E64" t="s">
        <v>130</v>
      </c>
      <c r="F64" s="247">
        <v>5144.1589999999997</v>
      </c>
      <c r="G64"/>
    </row>
    <row r="65" spans="1:7" x14ac:dyDescent="0.25">
      <c r="A65" t="s">
        <v>28</v>
      </c>
      <c r="B65" t="s">
        <v>191</v>
      </c>
      <c r="C65" s="244">
        <v>43202</v>
      </c>
      <c r="D65" s="245">
        <v>1873</v>
      </c>
      <c r="E65" t="s">
        <v>128</v>
      </c>
      <c r="F65" s="247">
        <v>9304.478000000001</v>
      </c>
      <c r="G65"/>
    </row>
    <row r="66" spans="1:7" x14ac:dyDescent="0.25">
      <c r="A66" t="s">
        <v>28</v>
      </c>
      <c r="B66" t="s">
        <v>18</v>
      </c>
      <c r="C66" s="244">
        <v>43202</v>
      </c>
      <c r="D66" s="245">
        <v>1873</v>
      </c>
      <c r="E66" t="s">
        <v>128</v>
      </c>
      <c r="F66" s="247">
        <v>426.08800000000002</v>
      </c>
      <c r="G66"/>
    </row>
    <row r="67" spans="1:7" x14ac:dyDescent="0.25">
      <c r="A67" t="s">
        <v>28</v>
      </c>
      <c r="B67" t="s">
        <v>191</v>
      </c>
      <c r="C67" s="244">
        <v>43202</v>
      </c>
      <c r="D67" s="245">
        <v>1873</v>
      </c>
      <c r="E67" t="s">
        <v>128</v>
      </c>
      <c r="F67" s="247">
        <v>9304.478000000001</v>
      </c>
      <c r="G67"/>
    </row>
    <row r="68" spans="1:7" x14ac:dyDescent="0.25">
      <c r="A68" t="s">
        <v>28</v>
      </c>
      <c r="B68" t="s">
        <v>15</v>
      </c>
      <c r="C68" s="244">
        <v>43202</v>
      </c>
      <c r="D68" s="245">
        <v>1874</v>
      </c>
      <c r="E68" t="s">
        <v>132</v>
      </c>
      <c r="F68" s="247">
        <v>9601.1949999999997</v>
      </c>
      <c r="G68"/>
    </row>
    <row r="69" spans="1:7" x14ac:dyDescent="0.25">
      <c r="A69" t="s">
        <v>28</v>
      </c>
      <c r="B69" t="s">
        <v>191</v>
      </c>
      <c r="C69" s="244">
        <v>43202</v>
      </c>
      <c r="D69" s="245">
        <v>1875</v>
      </c>
      <c r="E69" t="s">
        <v>132</v>
      </c>
      <c r="F69" s="247">
        <v>4850.5789999999997</v>
      </c>
      <c r="G69"/>
    </row>
    <row r="70" spans="1:7" x14ac:dyDescent="0.25">
      <c r="A70" t="s">
        <v>28</v>
      </c>
      <c r="B70" t="s">
        <v>16</v>
      </c>
      <c r="C70" s="244">
        <v>43203</v>
      </c>
      <c r="D70" s="245">
        <v>1876</v>
      </c>
      <c r="E70" t="s">
        <v>122</v>
      </c>
      <c r="F70" s="247">
        <v>3207.2759999999998</v>
      </c>
      <c r="G70"/>
    </row>
    <row r="71" spans="1:7" x14ac:dyDescent="0.25">
      <c r="A71" t="s">
        <v>28</v>
      </c>
      <c r="B71" t="s">
        <v>18</v>
      </c>
      <c r="C71" s="244">
        <v>43203</v>
      </c>
      <c r="D71" s="245">
        <v>1876</v>
      </c>
      <c r="E71" t="s">
        <v>122</v>
      </c>
      <c r="F71" s="247">
        <v>506.19200000000001</v>
      </c>
      <c r="G71"/>
    </row>
    <row r="72" spans="1:7" x14ac:dyDescent="0.25">
      <c r="A72" t="s">
        <v>28</v>
      </c>
      <c r="B72" t="s">
        <v>190</v>
      </c>
      <c r="C72" s="244">
        <v>43203</v>
      </c>
      <c r="D72" s="245">
        <v>1876</v>
      </c>
      <c r="E72" t="s">
        <v>122</v>
      </c>
      <c r="F72" s="247">
        <v>1200.001</v>
      </c>
      <c r="G72"/>
    </row>
    <row r="73" spans="1:7" x14ac:dyDescent="0.25">
      <c r="A73" t="s">
        <v>28</v>
      </c>
      <c r="B73" t="s">
        <v>16</v>
      </c>
      <c r="C73" s="244">
        <v>43205</v>
      </c>
      <c r="D73" s="245">
        <v>1877</v>
      </c>
      <c r="E73" t="s">
        <v>123</v>
      </c>
      <c r="F73" s="247">
        <v>6949.0920000000006</v>
      </c>
      <c r="G73"/>
    </row>
    <row r="74" spans="1:7" x14ac:dyDescent="0.25">
      <c r="A74" t="s">
        <v>28</v>
      </c>
      <c r="B74" t="s">
        <v>191</v>
      </c>
      <c r="C74" s="244">
        <v>43205</v>
      </c>
      <c r="D74" s="245">
        <v>1877</v>
      </c>
      <c r="E74" t="s">
        <v>123</v>
      </c>
      <c r="F74" s="247">
        <v>3764.9580000000001</v>
      </c>
      <c r="G74"/>
    </row>
    <row r="75" spans="1:7" x14ac:dyDescent="0.25">
      <c r="A75" t="s">
        <v>28</v>
      </c>
      <c r="B75" t="s">
        <v>16</v>
      </c>
      <c r="C75" s="244">
        <v>43203</v>
      </c>
      <c r="D75" s="245">
        <v>1877</v>
      </c>
      <c r="E75" t="s">
        <v>123</v>
      </c>
      <c r="F75" s="247">
        <v>6949.0920000000006</v>
      </c>
      <c r="G75"/>
    </row>
    <row r="76" spans="1:7" x14ac:dyDescent="0.25">
      <c r="A76" t="s">
        <v>28</v>
      </c>
      <c r="B76" t="s">
        <v>191</v>
      </c>
      <c r="C76" s="244">
        <v>43203</v>
      </c>
      <c r="D76" s="245">
        <v>1877</v>
      </c>
      <c r="E76" t="s">
        <v>123</v>
      </c>
      <c r="F76" s="247">
        <v>3764.9580000000001</v>
      </c>
      <c r="G76"/>
    </row>
    <row r="77" spans="1:7" x14ac:dyDescent="0.25">
      <c r="A77" t="s">
        <v>28</v>
      </c>
      <c r="B77" t="s">
        <v>191</v>
      </c>
      <c r="C77" s="244">
        <v>43205</v>
      </c>
      <c r="D77" s="245">
        <v>1878</v>
      </c>
      <c r="E77" t="s">
        <v>124</v>
      </c>
      <c r="F77" s="247">
        <v>2492.8000000000002</v>
      </c>
      <c r="G77"/>
    </row>
    <row r="78" spans="1:7" x14ac:dyDescent="0.25">
      <c r="A78" t="s">
        <v>28</v>
      </c>
      <c r="B78" t="s">
        <v>191</v>
      </c>
      <c r="C78" s="244">
        <v>43203</v>
      </c>
      <c r="D78" s="245">
        <v>1878</v>
      </c>
      <c r="E78" t="s">
        <v>124</v>
      </c>
      <c r="F78" s="247">
        <v>2492.8000000000002</v>
      </c>
      <c r="G78"/>
    </row>
    <row r="79" spans="1:7" x14ac:dyDescent="0.25">
      <c r="A79" t="s">
        <v>28</v>
      </c>
      <c r="B79" t="s">
        <v>18</v>
      </c>
      <c r="C79" s="244">
        <v>43203</v>
      </c>
      <c r="D79" s="245">
        <v>1879</v>
      </c>
      <c r="E79" t="s">
        <v>129</v>
      </c>
      <c r="F79" s="247">
        <v>426.08800000000002</v>
      </c>
      <c r="G79"/>
    </row>
    <row r="80" spans="1:7" x14ac:dyDescent="0.25">
      <c r="A80" t="s">
        <v>28</v>
      </c>
      <c r="B80" t="s">
        <v>191</v>
      </c>
      <c r="C80" s="244">
        <v>43203</v>
      </c>
      <c r="D80" s="245">
        <v>1879</v>
      </c>
      <c r="E80" t="s">
        <v>129</v>
      </c>
      <c r="F80" s="247">
        <v>7061.277000000001</v>
      </c>
      <c r="G80"/>
    </row>
    <row r="81" spans="1:7" x14ac:dyDescent="0.25">
      <c r="A81" t="s">
        <v>28</v>
      </c>
      <c r="B81" t="s">
        <v>15</v>
      </c>
      <c r="C81" s="244">
        <v>43206</v>
      </c>
      <c r="D81" s="245">
        <v>1880</v>
      </c>
      <c r="E81" t="s">
        <v>130</v>
      </c>
      <c r="F81" s="247">
        <v>16267.442000000003</v>
      </c>
      <c r="G81"/>
    </row>
    <row r="82" spans="1:7" x14ac:dyDescent="0.25">
      <c r="A82" t="s">
        <v>28</v>
      </c>
      <c r="B82" t="s">
        <v>15</v>
      </c>
      <c r="C82" s="244">
        <v>43207</v>
      </c>
      <c r="D82" s="245">
        <v>1881</v>
      </c>
      <c r="E82" t="s">
        <v>128</v>
      </c>
      <c r="F82" s="247">
        <v>9602.8829999999998</v>
      </c>
      <c r="G82"/>
    </row>
    <row r="83" spans="1:7" x14ac:dyDescent="0.25">
      <c r="A83" t="s">
        <v>28</v>
      </c>
      <c r="B83" t="s">
        <v>17</v>
      </c>
      <c r="C83" s="244">
        <v>43207</v>
      </c>
      <c r="D83" s="245">
        <v>1881</v>
      </c>
      <c r="E83" t="s">
        <v>128</v>
      </c>
      <c r="F83" s="247">
        <v>4102.5569999999998</v>
      </c>
      <c r="G83"/>
    </row>
    <row r="84" spans="1:7" x14ac:dyDescent="0.25">
      <c r="A84" t="s">
        <v>28</v>
      </c>
      <c r="B84" t="s">
        <v>15</v>
      </c>
      <c r="C84" s="244">
        <v>43208</v>
      </c>
      <c r="D84" s="245">
        <v>1882</v>
      </c>
      <c r="E84" t="s">
        <v>129</v>
      </c>
      <c r="F84" s="247">
        <v>13943.996000000001</v>
      </c>
      <c r="G84"/>
    </row>
    <row r="85" spans="1:7" x14ac:dyDescent="0.25">
      <c r="A85" t="s">
        <v>28</v>
      </c>
      <c r="B85" t="s">
        <v>17</v>
      </c>
      <c r="C85" s="244">
        <v>43208</v>
      </c>
      <c r="D85" s="245">
        <v>1883</v>
      </c>
      <c r="E85" t="s">
        <v>129</v>
      </c>
      <c r="F85" s="247">
        <v>10153.838</v>
      </c>
      <c r="G85"/>
    </row>
    <row r="86" spans="1:7" x14ac:dyDescent="0.25">
      <c r="A86" t="s">
        <v>28</v>
      </c>
      <c r="B86" t="s">
        <v>18</v>
      </c>
      <c r="C86" s="244">
        <v>43208</v>
      </c>
      <c r="D86" s="245">
        <v>1883</v>
      </c>
      <c r="E86" t="s">
        <v>129</v>
      </c>
      <c r="F86" s="247">
        <v>2239.5190000000002</v>
      </c>
      <c r="G86"/>
    </row>
    <row r="87" spans="1:7" x14ac:dyDescent="0.25">
      <c r="A87" t="s">
        <v>28</v>
      </c>
      <c r="B87" t="s">
        <v>15</v>
      </c>
      <c r="C87" s="244">
        <v>43211</v>
      </c>
      <c r="D87" s="245">
        <v>1884</v>
      </c>
      <c r="E87" t="s">
        <v>124</v>
      </c>
      <c r="F87" s="247">
        <v>11558.4</v>
      </c>
      <c r="G87"/>
    </row>
    <row r="88" spans="1:7" x14ac:dyDescent="0.25">
      <c r="A88" t="s">
        <v>28</v>
      </c>
      <c r="B88" t="s">
        <v>16</v>
      </c>
      <c r="C88" s="244">
        <v>43211</v>
      </c>
      <c r="D88" s="245">
        <v>1885</v>
      </c>
      <c r="E88" t="s">
        <v>124</v>
      </c>
      <c r="F88" s="247">
        <v>6949.0939999999991</v>
      </c>
      <c r="G88"/>
    </row>
    <row r="89" spans="1:7" x14ac:dyDescent="0.25">
      <c r="A89" t="s">
        <v>28</v>
      </c>
      <c r="B89" t="s">
        <v>18</v>
      </c>
      <c r="C89" s="244">
        <v>43211</v>
      </c>
      <c r="D89" s="245">
        <v>1885</v>
      </c>
      <c r="E89" t="s">
        <v>124</v>
      </c>
      <c r="F89" s="247">
        <v>2239.5190000000002</v>
      </c>
      <c r="G89"/>
    </row>
    <row r="90" spans="1:7" x14ac:dyDescent="0.25">
      <c r="A90" t="s">
        <v>28</v>
      </c>
      <c r="B90" t="s">
        <v>190</v>
      </c>
      <c r="C90" s="244">
        <v>43211</v>
      </c>
      <c r="D90" s="245">
        <v>1885</v>
      </c>
      <c r="E90" t="s">
        <v>124</v>
      </c>
      <c r="F90" s="247">
        <v>1034.482</v>
      </c>
    </row>
    <row r="91" spans="1:7" x14ac:dyDescent="0.25">
      <c r="A91" t="s">
        <v>28</v>
      </c>
      <c r="B91" t="s">
        <v>15</v>
      </c>
      <c r="C91" s="244">
        <v>43211</v>
      </c>
      <c r="D91" s="245">
        <v>1886</v>
      </c>
      <c r="E91" t="s">
        <v>125</v>
      </c>
      <c r="F91" s="247">
        <v>9902.7609999999986</v>
      </c>
      <c r="G91"/>
    </row>
    <row r="92" spans="1:7" x14ac:dyDescent="0.25">
      <c r="A92" t="s">
        <v>28</v>
      </c>
      <c r="B92" t="s">
        <v>191</v>
      </c>
      <c r="C92" s="244">
        <v>43211</v>
      </c>
      <c r="D92" s="245">
        <v>1886</v>
      </c>
      <c r="E92" t="s">
        <v>125</v>
      </c>
      <c r="F92" s="247">
        <v>2783.08</v>
      </c>
    </row>
    <row r="93" spans="1:7" x14ac:dyDescent="0.25">
      <c r="A93" t="s">
        <v>28</v>
      </c>
      <c r="B93" t="s">
        <v>15</v>
      </c>
      <c r="C93" s="244">
        <v>43211</v>
      </c>
      <c r="D93" s="245">
        <v>1887</v>
      </c>
      <c r="E93" t="s">
        <v>126</v>
      </c>
      <c r="F93" s="247">
        <v>5075.2800000000007</v>
      </c>
      <c r="G93"/>
    </row>
    <row r="94" spans="1:7" x14ac:dyDescent="0.25">
      <c r="C94" s="244"/>
      <c r="D94" s="245"/>
      <c r="F94" s="247"/>
      <c r="G94"/>
    </row>
    <row r="95" spans="1:7" x14ac:dyDescent="0.25">
      <c r="C95" s="244"/>
      <c r="D95" s="245"/>
      <c r="F95" s="247"/>
      <c r="G95"/>
    </row>
    <row r="96" spans="1:7" x14ac:dyDescent="0.25">
      <c r="C96" s="244"/>
      <c r="D96" s="245"/>
      <c r="E96" s="2" t="s">
        <v>111</v>
      </c>
      <c r="F96" s="246">
        <v>535558.46</v>
      </c>
      <c r="G96"/>
    </row>
    <row r="97" spans="3:7" x14ac:dyDescent="0.25">
      <c r="C97" s="244"/>
      <c r="D97" s="245"/>
      <c r="F97" s="247"/>
      <c r="G97"/>
    </row>
    <row r="98" spans="3:7" x14ac:dyDescent="0.25">
      <c r="C98" s="244"/>
      <c r="D98" s="245"/>
      <c r="F98" s="247"/>
      <c r="G98"/>
    </row>
    <row r="99" spans="3:7" x14ac:dyDescent="0.25">
      <c r="C99" s="244"/>
      <c r="D99" s="245"/>
      <c r="F99" s="247"/>
      <c r="G99"/>
    </row>
    <row r="100" spans="3:7" x14ac:dyDescent="0.25">
      <c r="C100" s="244"/>
      <c r="D100" s="245"/>
      <c r="F100" s="247"/>
      <c r="G100"/>
    </row>
    <row r="101" spans="3:7" x14ac:dyDescent="0.25">
      <c r="C101" s="244"/>
      <c r="D101" s="245"/>
      <c r="F101" s="247"/>
      <c r="G101"/>
    </row>
    <row r="102" spans="3:7" x14ac:dyDescent="0.25">
      <c r="C102" s="244"/>
      <c r="D102" s="245"/>
      <c r="F102" s="247"/>
      <c r="G102"/>
    </row>
    <row r="103" spans="3:7" x14ac:dyDescent="0.25">
      <c r="C103" s="244"/>
      <c r="D103" s="245"/>
      <c r="F103" s="247"/>
      <c r="G103"/>
    </row>
    <row r="104" spans="3:7" x14ac:dyDescent="0.25">
      <c r="C104" s="244"/>
      <c r="D104" s="245"/>
      <c r="F104" s="247"/>
      <c r="G104"/>
    </row>
    <row r="105" spans="3:7" x14ac:dyDescent="0.25">
      <c r="C105" s="244"/>
      <c r="D105" s="245"/>
      <c r="F105" s="247"/>
      <c r="G105"/>
    </row>
    <row r="106" spans="3:7" x14ac:dyDescent="0.25">
      <c r="C106" s="244"/>
      <c r="D106" s="245"/>
      <c r="F106" s="247"/>
      <c r="G106"/>
    </row>
    <row r="107" spans="3:7" x14ac:dyDescent="0.25">
      <c r="C107" s="244"/>
      <c r="D107" s="245"/>
      <c r="F107" s="247"/>
      <c r="G107"/>
    </row>
    <row r="108" spans="3:7" x14ac:dyDescent="0.25">
      <c r="C108" s="244"/>
      <c r="D108" s="245"/>
      <c r="F108" s="247"/>
      <c r="G108"/>
    </row>
    <row r="109" spans="3:7" x14ac:dyDescent="0.25">
      <c r="C109" s="244"/>
      <c r="D109" s="245"/>
      <c r="F109" s="247"/>
      <c r="G109"/>
    </row>
    <row r="110" spans="3:7" x14ac:dyDescent="0.25">
      <c r="C110" s="244"/>
      <c r="D110" s="245"/>
      <c r="F110" s="247"/>
      <c r="G110"/>
    </row>
    <row r="111" spans="3:7" x14ac:dyDescent="0.25">
      <c r="C111" s="244"/>
      <c r="D111" s="245"/>
      <c r="F111" s="247"/>
      <c r="G111"/>
    </row>
    <row r="112" spans="3:7" x14ac:dyDescent="0.25">
      <c r="C112" s="244"/>
      <c r="D112" s="245"/>
      <c r="F112" s="247"/>
      <c r="G112"/>
    </row>
    <row r="113" spans="3:7" x14ac:dyDescent="0.25">
      <c r="C113" s="244"/>
      <c r="D113" s="245"/>
      <c r="F113" s="247"/>
      <c r="G113"/>
    </row>
    <row r="114" spans="3:7" x14ac:dyDescent="0.25">
      <c r="C114" s="244"/>
      <c r="D114" s="245"/>
      <c r="F114" s="247"/>
      <c r="G114"/>
    </row>
    <row r="115" spans="3:7" x14ac:dyDescent="0.25">
      <c r="C115" s="244"/>
      <c r="D115" s="245"/>
      <c r="F115" s="247"/>
      <c r="G115"/>
    </row>
    <row r="116" spans="3:7" x14ac:dyDescent="0.25">
      <c r="C116" s="244"/>
      <c r="D116" s="245"/>
      <c r="F116" s="247"/>
      <c r="G116"/>
    </row>
    <row r="117" spans="3:7" x14ac:dyDescent="0.25">
      <c r="C117" s="244"/>
      <c r="D117" s="245"/>
      <c r="F117" s="247"/>
      <c r="G117"/>
    </row>
    <row r="118" spans="3:7" x14ac:dyDescent="0.25">
      <c r="C118" s="244"/>
      <c r="D118" s="245"/>
      <c r="F118" s="247"/>
      <c r="G118"/>
    </row>
    <row r="119" spans="3:7" x14ac:dyDescent="0.25">
      <c r="C119" s="244"/>
      <c r="D119" s="245"/>
      <c r="F119" s="247"/>
      <c r="G119"/>
    </row>
    <row r="120" spans="3:7" x14ac:dyDescent="0.25">
      <c r="C120" s="244"/>
      <c r="D120" s="245"/>
      <c r="F120" s="247"/>
      <c r="G120"/>
    </row>
    <row r="121" spans="3:7" x14ac:dyDescent="0.25">
      <c r="C121" s="244"/>
      <c r="D121" s="245"/>
      <c r="F121" s="247"/>
      <c r="G121"/>
    </row>
    <row r="122" spans="3:7" x14ac:dyDescent="0.25">
      <c r="C122" s="244"/>
      <c r="D122" s="245"/>
      <c r="F122" s="247"/>
      <c r="G122"/>
    </row>
    <row r="123" spans="3:7" x14ac:dyDescent="0.25">
      <c r="C123" s="244"/>
      <c r="D123" s="245"/>
      <c r="F123" s="247"/>
      <c r="G123"/>
    </row>
    <row r="124" spans="3:7" x14ac:dyDescent="0.25">
      <c r="C124" s="244"/>
      <c r="D124" s="245"/>
      <c r="F124" s="247"/>
      <c r="G124"/>
    </row>
    <row r="125" spans="3:7" x14ac:dyDescent="0.25">
      <c r="C125" s="244"/>
      <c r="D125" s="245"/>
      <c r="F125" s="247"/>
      <c r="G125"/>
    </row>
    <row r="126" spans="3:7" x14ac:dyDescent="0.25">
      <c r="C126" s="244"/>
      <c r="D126" s="245"/>
      <c r="F126" s="247"/>
      <c r="G126"/>
    </row>
    <row r="127" spans="3:7" x14ac:dyDescent="0.25">
      <c r="C127" s="244"/>
      <c r="D127" s="245"/>
      <c r="F127" s="247"/>
      <c r="G127"/>
    </row>
    <row r="128" spans="3:7" x14ac:dyDescent="0.25">
      <c r="C128" s="244"/>
      <c r="D128" s="245"/>
      <c r="F128" s="247"/>
      <c r="G128"/>
    </row>
    <row r="129" spans="3:7" x14ac:dyDescent="0.25">
      <c r="C129" s="244"/>
      <c r="D129" s="245"/>
      <c r="F129" s="247"/>
      <c r="G129"/>
    </row>
    <row r="130" spans="3:7" x14ac:dyDescent="0.25">
      <c r="C130" s="244"/>
      <c r="D130" s="245"/>
      <c r="F130" s="247"/>
      <c r="G130"/>
    </row>
    <row r="131" spans="3:7" x14ac:dyDescent="0.25">
      <c r="C131" s="244"/>
      <c r="D131" s="245"/>
      <c r="F131" s="247"/>
      <c r="G131"/>
    </row>
    <row r="132" spans="3:7" x14ac:dyDescent="0.25">
      <c r="C132" s="244"/>
      <c r="D132" s="245"/>
      <c r="F132" s="247"/>
      <c r="G132"/>
    </row>
    <row r="133" spans="3:7" x14ac:dyDescent="0.25">
      <c r="C133" s="244"/>
      <c r="D133" s="245"/>
      <c r="F133" s="247"/>
      <c r="G133"/>
    </row>
    <row r="134" spans="3:7" x14ac:dyDescent="0.25">
      <c r="C134" s="244"/>
      <c r="D134" s="245"/>
      <c r="F134" s="247"/>
      <c r="G134"/>
    </row>
    <row r="135" spans="3:7" x14ac:dyDescent="0.25">
      <c r="C135" s="244"/>
      <c r="D135" s="245"/>
      <c r="F135" s="247"/>
      <c r="G135"/>
    </row>
    <row r="136" spans="3:7" x14ac:dyDescent="0.25">
      <c r="C136" s="244"/>
      <c r="D136" s="245"/>
      <c r="F136" s="247"/>
      <c r="G136"/>
    </row>
    <row r="137" spans="3:7" x14ac:dyDescent="0.25">
      <c r="C137" s="244"/>
      <c r="D137" s="245"/>
      <c r="F137" s="247"/>
      <c r="G137"/>
    </row>
    <row r="138" spans="3:7" x14ac:dyDescent="0.25">
      <c r="C138" s="244"/>
      <c r="D138" s="245"/>
      <c r="F138" s="247"/>
      <c r="G138"/>
    </row>
    <row r="139" spans="3:7" x14ac:dyDescent="0.25">
      <c r="C139" s="244"/>
      <c r="D139" s="245"/>
      <c r="F139" s="247"/>
      <c r="G139"/>
    </row>
    <row r="140" spans="3:7" x14ac:dyDescent="0.25">
      <c r="C140" s="244"/>
      <c r="D140" s="245"/>
      <c r="F140" s="247"/>
      <c r="G140"/>
    </row>
    <row r="141" spans="3:7" x14ac:dyDescent="0.25">
      <c r="C141" s="244"/>
      <c r="D141" s="245"/>
      <c r="F141" s="247"/>
      <c r="G141"/>
    </row>
    <row r="142" spans="3:7" x14ac:dyDescent="0.25">
      <c r="C142" s="244"/>
      <c r="D142" s="245"/>
      <c r="F142" s="247"/>
      <c r="G142"/>
    </row>
    <row r="143" spans="3:7" x14ac:dyDescent="0.25">
      <c r="C143" s="244"/>
      <c r="D143" s="245"/>
      <c r="F143" s="247"/>
      <c r="G143"/>
    </row>
    <row r="144" spans="3:7" x14ac:dyDescent="0.25">
      <c r="C144" s="244"/>
      <c r="D144" s="245"/>
      <c r="F144" s="247"/>
      <c r="G144"/>
    </row>
    <row r="145" spans="3:7" x14ac:dyDescent="0.25">
      <c r="C145" s="244"/>
      <c r="D145" s="245"/>
      <c r="F145" s="247"/>
      <c r="G145"/>
    </row>
    <row r="146" spans="3:7" x14ac:dyDescent="0.25">
      <c r="C146" s="244"/>
      <c r="D146" s="245"/>
      <c r="F146" s="247"/>
      <c r="G146"/>
    </row>
    <row r="147" spans="3:7" x14ac:dyDescent="0.25">
      <c r="C147" s="244"/>
      <c r="D147" s="245"/>
      <c r="F147" s="247"/>
      <c r="G147"/>
    </row>
    <row r="148" spans="3:7" x14ac:dyDescent="0.25">
      <c r="C148" s="244"/>
      <c r="D148" s="245"/>
      <c r="F148" s="247"/>
      <c r="G148"/>
    </row>
    <row r="149" spans="3:7" x14ac:dyDescent="0.25">
      <c r="C149" s="244"/>
      <c r="D149" s="245"/>
      <c r="F149" s="247"/>
      <c r="G149"/>
    </row>
    <row r="150" spans="3:7" x14ac:dyDescent="0.25">
      <c r="C150" s="244"/>
      <c r="D150" s="245"/>
      <c r="F150" s="247"/>
      <c r="G150"/>
    </row>
    <row r="151" spans="3:7" x14ac:dyDescent="0.25">
      <c r="C151" s="244"/>
      <c r="D151" s="245"/>
      <c r="F151" s="247"/>
      <c r="G151"/>
    </row>
    <row r="152" spans="3:7" x14ac:dyDescent="0.25">
      <c r="C152" s="244"/>
      <c r="D152" s="245"/>
      <c r="F152" s="247"/>
      <c r="G152"/>
    </row>
    <row r="153" spans="3:7" x14ac:dyDescent="0.25">
      <c r="C153" s="244"/>
      <c r="D153" s="245"/>
      <c r="F153" s="247"/>
      <c r="G153"/>
    </row>
    <row r="154" spans="3:7" x14ac:dyDescent="0.25">
      <c r="C154" s="244"/>
      <c r="D154" s="245"/>
      <c r="F154" s="247"/>
      <c r="G154"/>
    </row>
    <row r="155" spans="3:7" x14ac:dyDescent="0.25">
      <c r="C155" s="244"/>
      <c r="D155" s="245"/>
      <c r="F155" s="247"/>
      <c r="G155"/>
    </row>
    <row r="156" spans="3:7" x14ac:dyDescent="0.25">
      <c r="C156" s="244"/>
      <c r="D156" s="245"/>
      <c r="F156" s="247"/>
      <c r="G156"/>
    </row>
    <row r="157" spans="3:7" x14ac:dyDescent="0.25">
      <c r="C157" s="244"/>
      <c r="D157" s="245"/>
      <c r="F157" s="247"/>
      <c r="G157"/>
    </row>
    <row r="158" spans="3:7" x14ac:dyDescent="0.25">
      <c r="C158" s="244"/>
      <c r="D158" s="245"/>
      <c r="F158" s="247"/>
      <c r="G158"/>
    </row>
    <row r="159" spans="3:7" x14ac:dyDescent="0.25">
      <c r="C159" s="244"/>
      <c r="D159" s="245"/>
      <c r="F159" s="247"/>
      <c r="G159"/>
    </row>
    <row r="160" spans="3:7" x14ac:dyDescent="0.25">
      <c r="C160" s="244"/>
      <c r="D160" s="245"/>
      <c r="F160" s="247"/>
      <c r="G160"/>
    </row>
    <row r="161" spans="3:7" x14ac:dyDescent="0.25">
      <c r="C161" s="244"/>
      <c r="D161" s="245"/>
      <c r="F161" s="247"/>
      <c r="G161"/>
    </row>
    <row r="162" spans="3:7" x14ac:dyDescent="0.25">
      <c r="C162" s="244"/>
      <c r="D162" s="245"/>
      <c r="F162" s="247"/>
      <c r="G162"/>
    </row>
    <row r="163" spans="3:7" x14ac:dyDescent="0.25">
      <c r="C163" s="244"/>
      <c r="D163" s="245"/>
      <c r="F163" s="247"/>
      <c r="G163"/>
    </row>
    <row r="164" spans="3:7" x14ac:dyDescent="0.25">
      <c r="C164" s="244"/>
      <c r="D164" s="245"/>
      <c r="F164" s="247"/>
      <c r="G164"/>
    </row>
    <row r="165" spans="3:7" x14ac:dyDescent="0.25">
      <c r="C165" s="244"/>
      <c r="D165" s="245"/>
      <c r="F165" s="247"/>
      <c r="G165"/>
    </row>
    <row r="166" spans="3:7" x14ac:dyDescent="0.25">
      <c r="C166" s="244"/>
      <c r="D166" s="245"/>
      <c r="F166" s="247"/>
      <c r="G166"/>
    </row>
    <row r="167" spans="3:7" x14ac:dyDescent="0.25">
      <c r="C167" s="244"/>
      <c r="D167" s="245"/>
      <c r="F167" s="247"/>
      <c r="G167"/>
    </row>
    <row r="168" spans="3:7" x14ac:dyDescent="0.25">
      <c r="C168" s="244"/>
      <c r="D168" s="245"/>
      <c r="F168" s="247"/>
      <c r="G168"/>
    </row>
    <row r="169" spans="3:7" x14ac:dyDescent="0.25">
      <c r="C169" s="244"/>
      <c r="D169" s="245"/>
      <c r="F169" s="247"/>
      <c r="G169"/>
    </row>
    <row r="170" spans="3:7" x14ac:dyDescent="0.25">
      <c r="C170" s="244"/>
      <c r="D170" s="245"/>
      <c r="F170" s="247"/>
      <c r="G170"/>
    </row>
    <row r="171" spans="3:7" x14ac:dyDescent="0.25">
      <c r="C171" s="244"/>
      <c r="D171" s="245"/>
      <c r="F171" s="247"/>
      <c r="G171"/>
    </row>
    <row r="172" spans="3:7" x14ac:dyDescent="0.25">
      <c r="C172" s="244"/>
      <c r="D172" s="245"/>
      <c r="F172" s="247"/>
      <c r="G172"/>
    </row>
    <row r="173" spans="3:7" x14ac:dyDescent="0.25">
      <c r="C173" s="244"/>
      <c r="D173" s="245"/>
      <c r="F173" s="247"/>
      <c r="G173"/>
    </row>
    <row r="174" spans="3:7" x14ac:dyDescent="0.25">
      <c r="C174" s="244"/>
      <c r="D174" s="245"/>
      <c r="F174" s="247"/>
      <c r="G174"/>
    </row>
    <row r="175" spans="3:7" x14ac:dyDescent="0.25">
      <c r="C175" s="244"/>
      <c r="D175" s="245"/>
      <c r="F175" s="247"/>
      <c r="G175"/>
    </row>
    <row r="176" spans="3:7" x14ac:dyDescent="0.25">
      <c r="C176" s="244"/>
      <c r="D176" s="245"/>
      <c r="F176" s="247"/>
      <c r="G176"/>
    </row>
    <row r="177" spans="3:7" x14ac:dyDescent="0.25">
      <c r="C177" s="244"/>
      <c r="D177" s="245"/>
      <c r="F177" s="247"/>
      <c r="G177"/>
    </row>
    <row r="178" spans="3:7" x14ac:dyDescent="0.25">
      <c r="C178" s="244"/>
      <c r="D178" s="245"/>
      <c r="F178" s="247"/>
      <c r="G178"/>
    </row>
    <row r="179" spans="3:7" x14ac:dyDescent="0.25">
      <c r="C179" s="244"/>
      <c r="D179" s="245"/>
      <c r="F179" s="247"/>
      <c r="G179"/>
    </row>
    <row r="180" spans="3:7" x14ac:dyDescent="0.25">
      <c r="C180" s="244"/>
      <c r="D180" s="245"/>
      <c r="F180" s="247"/>
      <c r="G180"/>
    </row>
    <row r="181" spans="3:7" x14ac:dyDescent="0.25">
      <c r="C181" s="244"/>
      <c r="D181" s="245"/>
      <c r="F181" s="247"/>
      <c r="G181"/>
    </row>
    <row r="182" spans="3:7" x14ac:dyDescent="0.25">
      <c r="C182" s="244"/>
      <c r="D182" s="245"/>
      <c r="F182" s="247"/>
      <c r="G182"/>
    </row>
    <row r="183" spans="3:7" x14ac:dyDescent="0.25">
      <c r="C183" s="244"/>
      <c r="D183" s="245"/>
      <c r="F183" s="247"/>
    </row>
    <row r="184" spans="3:7" x14ac:dyDescent="0.25">
      <c r="C184" s="244"/>
      <c r="D184" s="245"/>
      <c r="F184" s="247"/>
      <c r="G184"/>
    </row>
    <row r="185" spans="3:7" x14ac:dyDescent="0.25">
      <c r="C185" s="244"/>
      <c r="D185" s="245"/>
      <c r="F185" s="247"/>
    </row>
    <row r="186" spans="3:7" x14ac:dyDescent="0.25">
      <c r="C186" s="244"/>
      <c r="D186" s="245"/>
      <c r="F186" s="247"/>
      <c r="G186"/>
    </row>
    <row r="189" spans="3:7" x14ac:dyDescent="0.25">
      <c r="E189" s="2"/>
      <c r="F189" s="1"/>
    </row>
  </sheetData>
  <conditionalFormatting sqref="A94:F94">
    <cfRule type="expression" dxfId="184" priority="185">
      <formula>IF(ISBLANK(#REF!),0,SEARCH(#REF!,$A95&amp;$B95&amp;$C95&amp;$D95&amp;$E95&amp;$F95))</formula>
    </cfRule>
  </conditionalFormatting>
  <conditionalFormatting sqref="A95:F95">
    <cfRule type="expression" dxfId="183" priority="184">
      <formula>IF(ISBLANK(#REF!),0,SEARCH(#REF!,$A96&amp;$B96&amp;$C96&amp;$D96&amp;$E96&amp;$F96))</formula>
    </cfRule>
  </conditionalFormatting>
  <conditionalFormatting sqref="A96:F96">
    <cfRule type="expression" dxfId="182" priority="183">
      <formula>IF(ISBLANK(#REF!),0,SEARCH(#REF!,#REF!&amp;#REF!&amp;#REF!&amp;#REF!&amp;#REF!&amp;#REF!))</formula>
    </cfRule>
  </conditionalFormatting>
  <conditionalFormatting sqref="A97:F97">
    <cfRule type="expression" dxfId="181" priority="182">
      <formula>IF(ISBLANK(#REF!),0,SEARCH(#REF!,$A98&amp;$B98&amp;$C98&amp;$D98&amp;$E98&amp;$F98))</formula>
    </cfRule>
  </conditionalFormatting>
  <conditionalFormatting sqref="A98:F98">
    <cfRule type="expression" dxfId="180" priority="181">
      <formula>IF(ISBLANK(#REF!),0,SEARCH(#REF!,$A99&amp;$B99&amp;$C99&amp;$D99&amp;$E99&amp;$F99))</formula>
    </cfRule>
  </conditionalFormatting>
  <conditionalFormatting sqref="A99:F99">
    <cfRule type="expression" dxfId="179" priority="180">
      <formula>IF(ISBLANK(#REF!),0,SEARCH(#REF!,$A101&amp;$B101&amp;$C101&amp;$D101&amp;$E101&amp;$F101))</formula>
    </cfRule>
  </conditionalFormatting>
  <conditionalFormatting sqref="A100:F100">
    <cfRule type="expression" dxfId="178" priority="179">
      <formula>IF(ISBLANK(#REF!),0,SEARCH(#REF!,$A97&amp;$B97&amp;$C97&amp;$D97&amp;$E97&amp;$F97))</formula>
    </cfRule>
  </conditionalFormatting>
  <conditionalFormatting sqref="A101:F101">
    <cfRule type="expression" dxfId="177" priority="178">
      <formula>IF(ISBLANK(#REF!),0,SEARCH(#REF!,$A102&amp;$B102&amp;$C102&amp;$D102&amp;$E102&amp;$F102))</formula>
    </cfRule>
  </conditionalFormatting>
  <conditionalFormatting sqref="A102:F102">
    <cfRule type="expression" dxfId="176" priority="177">
      <formula>IF(ISBLANK(#REF!),0,SEARCH(#REF!,#REF!&amp;#REF!&amp;#REF!&amp;#REF!&amp;#REF!&amp;#REF!))</formula>
    </cfRule>
  </conditionalFormatting>
  <conditionalFormatting sqref="A103:F103">
    <cfRule type="expression" dxfId="175" priority="176">
      <formula>IF(ISBLANK(#REF!),0,SEARCH(#REF!,$A104&amp;$B104&amp;$C104&amp;$D104&amp;$E104&amp;$F104))</formula>
    </cfRule>
  </conditionalFormatting>
  <conditionalFormatting sqref="A104:F104">
    <cfRule type="expression" dxfId="174" priority="175">
      <formula>IF(ISBLANK(#REF!),0,SEARCH(#REF!,$A105&amp;$B105&amp;$C105&amp;$D105&amp;$E105&amp;$F105))</formula>
    </cfRule>
  </conditionalFormatting>
  <conditionalFormatting sqref="A105:F105">
    <cfRule type="expression" dxfId="173" priority="174">
      <formula>IF(ISBLANK(#REF!),0,SEARCH(#REF!,$A106&amp;$B106&amp;$C106&amp;$D106&amp;$E106&amp;$F106))</formula>
    </cfRule>
  </conditionalFormatting>
  <conditionalFormatting sqref="A106:F106">
    <cfRule type="expression" dxfId="172" priority="173">
      <formula>IF(ISBLANK(#REF!),0,SEARCH(#REF!,$A107&amp;$B107&amp;$C107&amp;$D107&amp;$E107&amp;$F107))</formula>
    </cfRule>
  </conditionalFormatting>
  <conditionalFormatting sqref="A107:F107">
    <cfRule type="expression" dxfId="171" priority="172">
      <formula>IF(ISBLANK(#REF!),0,SEARCH(#REF!,$A108&amp;$B108&amp;$C108&amp;$D108&amp;$E108&amp;$F108))</formula>
    </cfRule>
  </conditionalFormatting>
  <conditionalFormatting sqref="A108:F108">
    <cfRule type="expression" dxfId="170" priority="171">
      <formula>IF(ISBLANK(#REF!),0,SEARCH(#REF!,$A109&amp;$B109&amp;$C109&amp;$D109&amp;$E109&amp;$F109))</formula>
    </cfRule>
  </conditionalFormatting>
  <conditionalFormatting sqref="A109:F109">
    <cfRule type="expression" dxfId="169" priority="170">
      <formula>IF(ISBLANK(#REF!),0,SEARCH(#REF!,$A110&amp;$B110&amp;$C110&amp;$D110&amp;$E110&amp;$F110))</formula>
    </cfRule>
  </conditionalFormatting>
  <conditionalFormatting sqref="A110:F110">
    <cfRule type="expression" dxfId="168" priority="169">
      <formula>IF(ISBLANK(#REF!),0,SEARCH(#REF!,$A111&amp;$B111&amp;$C111&amp;$D111&amp;$E111&amp;$F111))</formula>
    </cfRule>
  </conditionalFormatting>
  <conditionalFormatting sqref="A111:F111">
    <cfRule type="expression" dxfId="167" priority="168">
      <formula>IF(ISBLANK(#REF!),0,SEARCH(#REF!,$A112&amp;$B112&amp;$C112&amp;$D112&amp;$E112&amp;$F112))</formula>
    </cfRule>
  </conditionalFormatting>
  <conditionalFormatting sqref="A112:F112">
    <cfRule type="expression" dxfId="166" priority="167">
      <formula>IF(ISBLANK(#REF!),0,SEARCH(#REF!,$A113&amp;$B113&amp;$C113&amp;$D113&amp;$E113&amp;$F113))</formula>
    </cfRule>
  </conditionalFormatting>
  <conditionalFormatting sqref="A113:F113">
    <cfRule type="expression" dxfId="165" priority="166">
      <formula>IF(ISBLANK(#REF!),0,SEARCH(#REF!,$A114&amp;$B114&amp;$C114&amp;$D114&amp;$E114&amp;$F114))</formula>
    </cfRule>
  </conditionalFormatting>
  <conditionalFormatting sqref="A114:F114">
    <cfRule type="expression" dxfId="164" priority="165">
      <formula>IF(ISBLANK(#REF!),0,SEARCH(#REF!,$A115&amp;$B115&amp;$C115&amp;$D115&amp;$E115&amp;$F115))</formula>
    </cfRule>
  </conditionalFormatting>
  <conditionalFormatting sqref="A115:F115">
    <cfRule type="expression" dxfId="163" priority="164">
      <formula>IF(ISBLANK(#REF!),0,SEARCH(#REF!,$A116&amp;$B116&amp;$C116&amp;$D116&amp;$E116&amp;$F116))</formula>
    </cfRule>
  </conditionalFormatting>
  <conditionalFormatting sqref="A116:F116">
    <cfRule type="expression" dxfId="162" priority="163">
      <formula>IF(ISBLANK(#REF!),0,SEARCH(#REF!,$A117&amp;$B117&amp;$C117&amp;$D117&amp;$E117&amp;$F117))</formula>
    </cfRule>
  </conditionalFormatting>
  <conditionalFormatting sqref="A117:F117">
    <cfRule type="expression" dxfId="161" priority="162">
      <formula>IF(ISBLANK(#REF!),0,SEARCH(#REF!,$A118&amp;$B118&amp;$C118&amp;$D118&amp;$E118&amp;$F118))</formula>
    </cfRule>
  </conditionalFormatting>
  <conditionalFormatting sqref="A118:F118">
    <cfRule type="expression" dxfId="160" priority="161">
      <formula>IF(ISBLANK(#REF!),0,SEARCH(#REF!,$A119&amp;$B119&amp;$C119&amp;$D119&amp;$E119&amp;$F119))</formula>
    </cfRule>
  </conditionalFormatting>
  <conditionalFormatting sqref="A119:F119">
    <cfRule type="expression" dxfId="159" priority="160">
      <formula>IF(ISBLANK(#REF!),0,SEARCH(#REF!,$A120&amp;$B120&amp;$C120&amp;$D120&amp;$E120&amp;$F120))</formula>
    </cfRule>
  </conditionalFormatting>
  <conditionalFormatting sqref="A120:F120">
    <cfRule type="expression" dxfId="158" priority="159">
      <formula>IF(ISBLANK(#REF!),0,SEARCH(#REF!,$A121&amp;$B121&amp;$C121&amp;$D121&amp;$E121&amp;$F121))</formula>
    </cfRule>
  </conditionalFormatting>
  <conditionalFormatting sqref="A121:F121">
    <cfRule type="expression" dxfId="157" priority="158">
      <formula>IF(ISBLANK(#REF!),0,SEARCH(#REF!,$A122&amp;$B122&amp;$C122&amp;$D122&amp;$E122&amp;$F122))</formula>
    </cfRule>
  </conditionalFormatting>
  <conditionalFormatting sqref="A122:F122">
    <cfRule type="expression" dxfId="156" priority="157">
      <formula>IF(ISBLANK(#REF!),0,SEARCH(#REF!,$A123&amp;$B123&amp;$C123&amp;$D123&amp;$E123&amp;$F123))</formula>
    </cfRule>
  </conditionalFormatting>
  <conditionalFormatting sqref="A123:F123">
    <cfRule type="expression" dxfId="155" priority="156">
      <formula>IF(ISBLANK(#REF!),0,SEARCH(#REF!,$A124&amp;$B124&amp;$C124&amp;$D124&amp;$E124&amp;$F124))</formula>
    </cfRule>
  </conditionalFormatting>
  <conditionalFormatting sqref="A124:F124">
    <cfRule type="expression" dxfId="154" priority="155">
      <formula>IF(ISBLANK(#REF!),0,SEARCH(#REF!,$A125&amp;$B125&amp;$C125&amp;$D125&amp;$E125&amp;$F125))</formula>
    </cfRule>
  </conditionalFormatting>
  <conditionalFormatting sqref="A125:F125">
    <cfRule type="expression" dxfId="153" priority="154">
      <formula>IF(ISBLANK(#REF!),0,SEARCH(#REF!,$A126&amp;$B126&amp;$C126&amp;$D126&amp;$E126&amp;$F126))</formula>
    </cfRule>
  </conditionalFormatting>
  <conditionalFormatting sqref="A126:F126">
    <cfRule type="expression" dxfId="152" priority="153">
      <formula>IF(ISBLANK(#REF!),0,SEARCH(#REF!,$A127&amp;$B127&amp;$C127&amp;$D127&amp;$E127&amp;$F127))</formula>
    </cfRule>
  </conditionalFormatting>
  <conditionalFormatting sqref="A127:F127">
    <cfRule type="expression" dxfId="151" priority="152">
      <formula>IF(ISBLANK(#REF!),0,SEARCH(#REF!,$A128&amp;$B128&amp;$C128&amp;$D128&amp;$E128&amp;$F128))</formula>
    </cfRule>
  </conditionalFormatting>
  <conditionalFormatting sqref="A128:F128">
    <cfRule type="expression" dxfId="150" priority="151">
      <formula>IF(ISBLANK(#REF!),0,SEARCH(#REF!,$A129&amp;$B129&amp;$C129&amp;$D129&amp;$E129&amp;$F129))</formula>
    </cfRule>
  </conditionalFormatting>
  <conditionalFormatting sqref="A129:F129">
    <cfRule type="expression" dxfId="149" priority="150">
      <formula>IF(ISBLANK(#REF!),0,SEARCH(#REF!,$A130&amp;$B130&amp;$C130&amp;$D130&amp;$E130&amp;$F130))</formula>
    </cfRule>
  </conditionalFormatting>
  <conditionalFormatting sqref="A130:F130">
    <cfRule type="expression" dxfId="148" priority="149">
      <formula>IF(ISBLANK(#REF!),0,SEARCH(#REF!,$A131&amp;$B131&amp;$C131&amp;$D131&amp;$E131&amp;$F131))</formula>
    </cfRule>
  </conditionalFormatting>
  <conditionalFormatting sqref="A131:F131">
    <cfRule type="expression" dxfId="147" priority="148">
      <formula>IF(ISBLANK(#REF!),0,SEARCH(#REF!,$A132&amp;$B132&amp;$C132&amp;$D132&amp;$E132&amp;$F132))</formula>
    </cfRule>
  </conditionalFormatting>
  <conditionalFormatting sqref="A132:F132">
    <cfRule type="expression" dxfId="146" priority="147">
      <formula>IF(ISBLANK(#REF!),0,SEARCH(#REF!,$A133&amp;$B133&amp;$C133&amp;$D133&amp;$E133&amp;$F133))</formula>
    </cfRule>
  </conditionalFormatting>
  <conditionalFormatting sqref="A133:F133">
    <cfRule type="expression" dxfId="145" priority="146">
      <formula>IF(ISBLANK(#REF!),0,SEARCH(#REF!,$A134&amp;$B134&amp;$C134&amp;$D134&amp;$E134&amp;$F134))</formula>
    </cfRule>
  </conditionalFormatting>
  <conditionalFormatting sqref="A134:F134">
    <cfRule type="expression" dxfId="144" priority="145">
      <formula>IF(ISBLANK(#REF!),0,SEARCH(#REF!,$A135&amp;$B135&amp;$C135&amp;$D135&amp;$E135&amp;$F135))</formula>
    </cfRule>
  </conditionalFormatting>
  <conditionalFormatting sqref="A135:F135">
    <cfRule type="expression" dxfId="143" priority="144">
      <formula>IF(ISBLANK(#REF!),0,SEARCH(#REF!,$A136&amp;$B136&amp;$C136&amp;$D136&amp;$E136&amp;$F136))</formula>
    </cfRule>
  </conditionalFormatting>
  <conditionalFormatting sqref="A136:F136">
    <cfRule type="expression" dxfId="142" priority="143">
      <formula>IF(ISBLANK(#REF!),0,SEARCH(#REF!,$A137&amp;$B137&amp;$C137&amp;$D137&amp;$E137&amp;$F137))</formula>
    </cfRule>
  </conditionalFormatting>
  <conditionalFormatting sqref="A137:F137">
    <cfRule type="expression" dxfId="141" priority="142">
      <formula>IF(ISBLANK(#REF!),0,SEARCH(#REF!,$A138&amp;$B138&amp;$C138&amp;$D138&amp;$E138&amp;$F138))</formula>
    </cfRule>
  </conditionalFormatting>
  <conditionalFormatting sqref="A138:F138">
    <cfRule type="expression" dxfId="140" priority="141">
      <formula>IF(ISBLANK(#REF!),0,SEARCH(#REF!,$A139&amp;$B139&amp;$C139&amp;$D139&amp;$E139&amp;$F139))</formula>
    </cfRule>
  </conditionalFormatting>
  <conditionalFormatting sqref="A139:F139">
    <cfRule type="expression" dxfId="139" priority="140">
      <formula>IF(ISBLANK(#REF!),0,SEARCH(#REF!,$A140&amp;$B140&amp;$C140&amp;$D140&amp;$E140&amp;$F140))</formula>
    </cfRule>
  </conditionalFormatting>
  <conditionalFormatting sqref="A140:F140">
    <cfRule type="expression" dxfId="138" priority="139">
      <formula>IF(ISBLANK(#REF!),0,SEARCH(#REF!,$A141&amp;$B141&amp;$C141&amp;$D141&amp;$E141&amp;$F141))</formula>
    </cfRule>
  </conditionalFormatting>
  <conditionalFormatting sqref="A141:F141">
    <cfRule type="expression" dxfId="137" priority="138">
      <formula>IF(ISBLANK(#REF!),0,SEARCH(#REF!,$A142&amp;$B142&amp;$C142&amp;$D142&amp;$E142&amp;$F142))</formula>
    </cfRule>
  </conditionalFormatting>
  <conditionalFormatting sqref="A142:F142">
    <cfRule type="expression" dxfId="136" priority="137">
      <formula>IF(ISBLANK(#REF!),0,SEARCH(#REF!,$A143&amp;$B143&amp;$C143&amp;$D143&amp;$E143&amp;$F143))</formula>
    </cfRule>
  </conditionalFormatting>
  <conditionalFormatting sqref="A143:F143">
    <cfRule type="expression" dxfId="135" priority="136">
      <formula>IF(ISBLANK(#REF!),0,SEARCH(#REF!,$A144&amp;$B144&amp;$C144&amp;$D144&amp;$E144&amp;$F144))</formula>
    </cfRule>
  </conditionalFormatting>
  <conditionalFormatting sqref="A144:F144">
    <cfRule type="expression" dxfId="134" priority="135">
      <formula>IF(ISBLANK(#REF!),0,SEARCH(#REF!,$A145&amp;$B145&amp;$C145&amp;$D145&amp;$E145&amp;$F145))</formula>
    </cfRule>
  </conditionalFormatting>
  <conditionalFormatting sqref="A145:F145">
    <cfRule type="expression" dxfId="133" priority="134">
      <formula>IF(ISBLANK(#REF!),0,SEARCH(#REF!,$A146&amp;$B146&amp;$C146&amp;$D146&amp;$E146&amp;$F146))</formula>
    </cfRule>
  </conditionalFormatting>
  <conditionalFormatting sqref="A146:F146">
    <cfRule type="expression" dxfId="132" priority="133">
      <formula>IF(ISBLANK(#REF!),0,SEARCH(#REF!,$A147&amp;$B147&amp;$C147&amp;$D147&amp;$E147&amp;$F147))</formula>
    </cfRule>
  </conditionalFormatting>
  <conditionalFormatting sqref="A147:F147">
    <cfRule type="expression" dxfId="131" priority="132">
      <formula>IF(ISBLANK(#REF!),0,SEARCH(#REF!,$A148&amp;$B148&amp;$C148&amp;$D148&amp;$E148&amp;$F148))</formula>
    </cfRule>
  </conditionalFormatting>
  <conditionalFormatting sqref="A148:F148">
    <cfRule type="expression" dxfId="130" priority="131">
      <formula>IF(ISBLANK(#REF!),0,SEARCH(#REF!,$A149&amp;$B149&amp;$C149&amp;$D149&amp;$E149&amp;$F149))</formula>
    </cfRule>
  </conditionalFormatting>
  <conditionalFormatting sqref="A149:F149">
    <cfRule type="expression" dxfId="129" priority="130">
      <formula>IF(ISBLANK(#REF!),0,SEARCH(#REF!,$A150&amp;$B150&amp;$C150&amp;$D150&amp;$E150&amp;$F150))</formula>
    </cfRule>
  </conditionalFormatting>
  <conditionalFormatting sqref="A150:F150">
    <cfRule type="expression" dxfId="128" priority="129">
      <formula>IF(ISBLANK(#REF!),0,SEARCH(#REF!,$A151&amp;$B151&amp;$C151&amp;$D151&amp;$E151&amp;$F151))</formula>
    </cfRule>
  </conditionalFormatting>
  <conditionalFormatting sqref="A151:F151">
    <cfRule type="expression" dxfId="127" priority="128">
      <formula>IF(ISBLANK(#REF!),0,SEARCH(#REF!,$A152&amp;$B152&amp;$C152&amp;$D152&amp;$E152&amp;$F152))</formula>
    </cfRule>
  </conditionalFormatting>
  <conditionalFormatting sqref="A152:F152">
    <cfRule type="expression" dxfId="126" priority="127">
      <formula>IF(ISBLANK(#REF!),0,SEARCH(#REF!,$A153&amp;$B153&amp;$C153&amp;$D153&amp;$E153&amp;$F153))</formula>
    </cfRule>
  </conditionalFormatting>
  <conditionalFormatting sqref="A153:F153">
    <cfRule type="expression" dxfId="125" priority="126">
      <formula>IF(ISBLANK(#REF!),0,SEARCH(#REF!,$A154&amp;$B154&amp;$C154&amp;$D154&amp;$E154&amp;$F154))</formula>
    </cfRule>
  </conditionalFormatting>
  <conditionalFormatting sqref="A154:F154">
    <cfRule type="expression" dxfId="124" priority="125">
      <formula>IF(ISBLANK(#REF!),0,SEARCH(#REF!,$A155&amp;$B155&amp;$C155&amp;$D155&amp;$E155&amp;$F155))</formula>
    </cfRule>
  </conditionalFormatting>
  <conditionalFormatting sqref="A155:F155">
    <cfRule type="expression" dxfId="123" priority="124">
      <formula>IF(ISBLANK(#REF!),0,SEARCH(#REF!,$A156&amp;$B156&amp;$C156&amp;$D156&amp;$E156&amp;$F156))</formula>
    </cfRule>
  </conditionalFormatting>
  <conditionalFormatting sqref="A156:F156">
    <cfRule type="expression" dxfId="122" priority="123">
      <formula>IF(ISBLANK(#REF!),0,SEARCH(#REF!,$A157&amp;$B157&amp;$C157&amp;$D157&amp;$E157&amp;$F157))</formula>
    </cfRule>
  </conditionalFormatting>
  <conditionalFormatting sqref="A157:F157">
    <cfRule type="expression" dxfId="121" priority="122">
      <formula>IF(ISBLANK(#REF!),0,SEARCH(#REF!,$A158&amp;$B158&amp;$C158&amp;$D158&amp;$E158&amp;$F158))</formula>
    </cfRule>
  </conditionalFormatting>
  <conditionalFormatting sqref="A158:F158">
    <cfRule type="expression" dxfId="120" priority="121">
      <formula>IF(ISBLANK(#REF!),0,SEARCH(#REF!,$A159&amp;$B159&amp;$C159&amp;$D159&amp;$E159&amp;$F159))</formula>
    </cfRule>
  </conditionalFormatting>
  <conditionalFormatting sqref="A159:F159">
    <cfRule type="expression" dxfId="119" priority="120">
      <formula>IF(ISBLANK(#REF!),0,SEARCH(#REF!,$A160&amp;$B160&amp;$C160&amp;$D160&amp;$E160&amp;$F160))</formula>
    </cfRule>
  </conditionalFormatting>
  <conditionalFormatting sqref="A160:F160">
    <cfRule type="expression" dxfId="118" priority="119">
      <formula>IF(ISBLANK(#REF!),0,SEARCH(#REF!,$A161&amp;$B161&amp;$C161&amp;$D161&amp;$E161&amp;$F161))</formula>
    </cfRule>
  </conditionalFormatting>
  <conditionalFormatting sqref="A161:F161">
    <cfRule type="expression" dxfId="117" priority="118">
      <formula>IF(ISBLANK(#REF!),0,SEARCH(#REF!,$A162&amp;$B162&amp;$C162&amp;$D162&amp;$E162&amp;$F162))</formula>
    </cfRule>
  </conditionalFormatting>
  <conditionalFormatting sqref="A162:F162">
    <cfRule type="expression" dxfId="116" priority="117">
      <formula>IF(ISBLANK(#REF!),0,SEARCH(#REF!,$A163&amp;$B163&amp;$C163&amp;$D163&amp;$E163&amp;$F163))</formula>
    </cfRule>
  </conditionalFormatting>
  <conditionalFormatting sqref="A163:F163">
    <cfRule type="expression" dxfId="115" priority="116">
      <formula>IF(ISBLANK(#REF!),0,SEARCH(#REF!,$A164&amp;$B164&amp;$C164&amp;$D164&amp;$E164&amp;$F164))</formula>
    </cfRule>
  </conditionalFormatting>
  <conditionalFormatting sqref="A164:F164">
    <cfRule type="expression" dxfId="114" priority="115">
      <formula>IF(ISBLANK(#REF!),0,SEARCH(#REF!,$A165&amp;$B165&amp;$C165&amp;$D165&amp;$E165&amp;$F165))</formula>
    </cfRule>
  </conditionalFormatting>
  <conditionalFormatting sqref="A165:F165">
    <cfRule type="expression" dxfId="113" priority="114">
      <formula>IF(ISBLANK(#REF!),0,SEARCH(#REF!,$A166&amp;$B166&amp;$C166&amp;$D166&amp;$E166&amp;$F166))</formula>
    </cfRule>
  </conditionalFormatting>
  <conditionalFormatting sqref="A166:F166">
    <cfRule type="expression" dxfId="112" priority="113">
      <formula>IF(ISBLANK(#REF!),0,SEARCH(#REF!,$A167&amp;$B167&amp;$C167&amp;$D167&amp;$E167&amp;$F167))</formula>
    </cfRule>
  </conditionalFormatting>
  <conditionalFormatting sqref="A167:F167">
    <cfRule type="expression" dxfId="111" priority="112">
      <formula>IF(ISBLANK(#REF!),0,SEARCH(#REF!,$A168&amp;$B168&amp;$C168&amp;$D168&amp;$E168&amp;$F168))</formula>
    </cfRule>
  </conditionalFormatting>
  <conditionalFormatting sqref="A168:F168">
    <cfRule type="expression" dxfId="110" priority="111">
      <formula>IF(ISBLANK(#REF!),0,SEARCH(#REF!,$A169&amp;$B169&amp;$C169&amp;$D169&amp;$E169&amp;$F169))</formula>
    </cfRule>
  </conditionalFormatting>
  <conditionalFormatting sqref="A169:F169">
    <cfRule type="expression" dxfId="109" priority="110">
      <formula>IF(ISBLANK(#REF!),0,SEARCH(#REF!,$A170&amp;$B170&amp;$C170&amp;$D170&amp;$E170&amp;$F170))</formula>
    </cfRule>
  </conditionalFormatting>
  <conditionalFormatting sqref="A170:F170">
    <cfRule type="expression" dxfId="108" priority="109">
      <formula>IF(ISBLANK(#REF!),0,SEARCH(#REF!,$A171&amp;$B171&amp;$C171&amp;$D171&amp;$E171&amp;$F171))</formula>
    </cfRule>
  </conditionalFormatting>
  <conditionalFormatting sqref="A171:F171">
    <cfRule type="expression" dxfId="107" priority="108">
      <formula>IF(ISBLANK(#REF!),0,SEARCH(#REF!,$A172&amp;$B172&amp;$C172&amp;$D172&amp;$E172&amp;$F172))</formula>
    </cfRule>
  </conditionalFormatting>
  <conditionalFormatting sqref="A172:F172">
    <cfRule type="expression" dxfId="106" priority="107">
      <formula>IF(ISBLANK(#REF!),0,SEARCH(#REF!,$A173&amp;$B173&amp;$C173&amp;$D173&amp;$E173&amp;$F173))</formula>
    </cfRule>
  </conditionalFormatting>
  <conditionalFormatting sqref="A173:F173">
    <cfRule type="expression" dxfId="105" priority="106">
      <formula>IF(ISBLANK(#REF!),0,SEARCH(#REF!,$A174&amp;$B174&amp;$C174&amp;$D174&amp;$E174&amp;$F174))</formula>
    </cfRule>
  </conditionalFormatting>
  <conditionalFormatting sqref="A174:F174">
    <cfRule type="expression" dxfId="104" priority="105">
      <formula>IF(ISBLANK(#REF!),0,SEARCH(#REF!,$A175&amp;$B175&amp;$C175&amp;$D175&amp;$E175&amp;$F175))</formula>
    </cfRule>
  </conditionalFormatting>
  <conditionalFormatting sqref="A175:F175">
    <cfRule type="expression" dxfId="103" priority="104">
      <formula>IF(ISBLANK(#REF!),0,SEARCH(#REF!,$A176&amp;$B176&amp;$C176&amp;$D176&amp;$E176&amp;$F176))</formula>
    </cfRule>
  </conditionalFormatting>
  <conditionalFormatting sqref="A176:F176">
    <cfRule type="expression" dxfId="102" priority="103">
      <formula>IF(ISBLANK(#REF!),0,SEARCH(#REF!,$A177&amp;$B177&amp;$C177&amp;$D177&amp;$E177&amp;$F177))</formula>
    </cfRule>
  </conditionalFormatting>
  <conditionalFormatting sqref="A177:F177">
    <cfRule type="expression" dxfId="101" priority="102">
      <formula>IF(ISBLANK(#REF!),0,SEARCH(#REF!,$A178&amp;$B178&amp;$C178&amp;$D178&amp;$E178&amp;$F178))</formula>
    </cfRule>
  </conditionalFormatting>
  <conditionalFormatting sqref="A178:F178">
    <cfRule type="expression" dxfId="100" priority="101">
      <formula>IF(ISBLANK(#REF!),0,SEARCH(#REF!,$A179&amp;$B179&amp;$C179&amp;$D179&amp;$E179&amp;$F179))</formula>
    </cfRule>
  </conditionalFormatting>
  <conditionalFormatting sqref="A179:F179">
    <cfRule type="expression" dxfId="99" priority="100">
      <formula>IF(ISBLANK(#REF!),0,SEARCH(#REF!,#REF!&amp;#REF!&amp;#REF!&amp;#REF!&amp;#REF!&amp;#REF!))</formula>
    </cfRule>
  </conditionalFormatting>
  <conditionalFormatting sqref="A180:F180">
    <cfRule type="expression" dxfId="98" priority="99">
      <formula>IF(ISBLANK(#REF!),0,SEARCH(#REF!,$A181&amp;$B181&amp;$C181&amp;$D181&amp;$E181&amp;$F181))</formula>
    </cfRule>
  </conditionalFormatting>
  <conditionalFormatting sqref="A181:F181">
    <cfRule type="expression" dxfId="97" priority="98">
      <formula>IF(ISBLANK(#REF!),0,SEARCH(#REF!,$A182&amp;$B182&amp;$C182&amp;$D182&amp;$E182&amp;$F182))</formula>
    </cfRule>
  </conditionalFormatting>
  <conditionalFormatting sqref="A182:F182">
    <cfRule type="expression" dxfId="96" priority="97">
      <formula>IF(ISBLANK(#REF!),0,SEARCH(#REF!,$A183&amp;$B183&amp;$C183&amp;$D183&amp;$E183&amp;$F183))</formula>
    </cfRule>
  </conditionalFormatting>
  <conditionalFormatting sqref="A183:F183">
    <cfRule type="expression" dxfId="95" priority="96">
      <formula>IF(ISBLANK(#REF!),0,SEARCH(#REF!,#REF!&amp;#REF!&amp;#REF!&amp;#REF!&amp;#REF!&amp;#REF!))</formula>
    </cfRule>
  </conditionalFormatting>
  <conditionalFormatting sqref="A184:F184">
    <cfRule type="expression" dxfId="94" priority="95">
      <formula>IF(ISBLANK(#REF!),0,SEARCH(#REF!,$A185&amp;$B185&amp;$C185&amp;$D185&amp;$E185&amp;$F185))</formula>
    </cfRule>
  </conditionalFormatting>
  <conditionalFormatting sqref="A185:F185">
    <cfRule type="expression" dxfId="93" priority="94">
      <formula>IF(ISBLANK(#REF!),0,SEARCH(#REF!,$A186&amp;$B186&amp;$C186&amp;$D186&amp;$E186&amp;$F186))</formula>
    </cfRule>
  </conditionalFormatting>
  <conditionalFormatting sqref="A186:F186">
    <cfRule type="expression" dxfId="92" priority="93">
      <formula>IF(ISBLANK(#REF!),0,SEARCH(#REF!,$A187&amp;$B187&amp;$C187&amp;$D187&amp;$E187&amp;$F187))</formula>
    </cfRule>
  </conditionalFormatting>
  <conditionalFormatting sqref="A2:F2">
    <cfRule type="expression" dxfId="91" priority="92">
      <formula>IF(ISBLANK(#REF!),0,SEARCH(#REF!,$A3&amp;$B3&amp;$C3&amp;$D3&amp;$E3&amp;$F3))</formula>
    </cfRule>
  </conditionalFormatting>
  <conditionalFormatting sqref="A3:F3">
    <cfRule type="expression" dxfId="90" priority="91">
      <formula>IF(ISBLANK(#REF!),0,SEARCH(#REF!,#REF!&amp;#REF!&amp;#REF!&amp;#REF!&amp;#REF!&amp;#REF!))</formula>
    </cfRule>
  </conditionalFormatting>
  <conditionalFormatting sqref="A4:F4">
    <cfRule type="expression" dxfId="89" priority="90">
      <formula>IF(ISBLANK(#REF!),0,SEARCH(#REF!,$A5&amp;$B5&amp;$C5&amp;$D5&amp;$E5&amp;$F5))</formula>
    </cfRule>
  </conditionalFormatting>
  <conditionalFormatting sqref="A5:F5">
    <cfRule type="expression" dxfId="88" priority="89">
      <formula>IF(ISBLANK(#REF!),0,SEARCH(#REF!,$A6&amp;$B6&amp;$C6&amp;$D6&amp;$E6&amp;$F6))</formula>
    </cfRule>
  </conditionalFormatting>
  <conditionalFormatting sqref="A6:F6">
    <cfRule type="expression" dxfId="87" priority="88">
      <formula>IF(ISBLANK(#REF!),0,SEARCH(#REF!,$A8&amp;$B8&amp;$C8&amp;$D8&amp;$E8&amp;$F8))</formula>
    </cfRule>
  </conditionalFormatting>
  <conditionalFormatting sqref="A7:F7">
    <cfRule type="expression" dxfId="86" priority="87">
      <formula>IF(ISBLANK(#REF!),0,SEARCH(#REF!,$A4&amp;$B4&amp;$C4&amp;$D4&amp;$E4&amp;$F4))</formula>
    </cfRule>
  </conditionalFormatting>
  <conditionalFormatting sqref="A8:F8">
    <cfRule type="expression" dxfId="85" priority="86">
      <formula>IF(ISBLANK(#REF!),0,SEARCH(#REF!,$A9&amp;$B9&amp;$C9&amp;$D9&amp;$E9&amp;$F9))</formula>
    </cfRule>
  </conditionalFormatting>
  <conditionalFormatting sqref="A9:F9">
    <cfRule type="expression" dxfId="84" priority="85">
      <formula>IF(ISBLANK(#REF!),0,SEARCH(#REF!,#REF!&amp;#REF!&amp;#REF!&amp;#REF!&amp;#REF!&amp;#REF!))</formula>
    </cfRule>
  </conditionalFormatting>
  <conditionalFormatting sqref="A10:F10">
    <cfRule type="expression" dxfId="83" priority="84">
      <formula>IF(ISBLANK(#REF!),0,SEARCH(#REF!,$A11&amp;$B11&amp;$C11&amp;$D11&amp;$E11&amp;$F11))</formula>
    </cfRule>
  </conditionalFormatting>
  <conditionalFormatting sqref="A11:F11">
    <cfRule type="expression" dxfId="82" priority="83">
      <formula>IF(ISBLANK(#REF!),0,SEARCH(#REF!,$A12&amp;$B12&amp;$C12&amp;$D12&amp;$E12&amp;$F12))</formula>
    </cfRule>
  </conditionalFormatting>
  <conditionalFormatting sqref="A12:F12">
    <cfRule type="expression" dxfId="81" priority="82">
      <formula>IF(ISBLANK(#REF!),0,SEARCH(#REF!,$A13&amp;$B13&amp;$C13&amp;$D13&amp;$E13&amp;$F13))</formula>
    </cfRule>
  </conditionalFormatting>
  <conditionalFormatting sqref="A13:F13">
    <cfRule type="expression" dxfId="80" priority="81">
      <formula>IF(ISBLANK(#REF!),0,SEARCH(#REF!,$A14&amp;$B14&amp;$C14&amp;$D14&amp;$E14&amp;$F14))</formula>
    </cfRule>
  </conditionalFormatting>
  <conditionalFormatting sqref="A14:F14">
    <cfRule type="expression" dxfId="79" priority="80">
      <formula>IF(ISBLANK(#REF!),0,SEARCH(#REF!,$A15&amp;$B15&amp;$C15&amp;$D15&amp;$E15&amp;$F15))</formula>
    </cfRule>
  </conditionalFormatting>
  <conditionalFormatting sqref="A15:F15">
    <cfRule type="expression" dxfId="78" priority="79">
      <formula>IF(ISBLANK(#REF!),0,SEARCH(#REF!,$A16&amp;$B16&amp;$C16&amp;$D16&amp;$E16&amp;$F16))</formula>
    </cfRule>
  </conditionalFormatting>
  <conditionalFormatting sqref="A16:F16">
    <cfRule type="expression" dxfId="77" priority="78">
      <formula>IF(ISBLANK(#REF!),0,SEARCH(#REF!,$A17&amp;$B17&amp;$C17&amp;$D17&amp;$E17&amp;$F17))</formula>
    </cfRule>
  </conditionalFormatting>
  <conditionalFormatting sqref="A17:F17">
    <cfRule type="expression" dxfId="76" priority="77">
      <formula>IF(ISBLANK(#REF!),0,SEARCH(#REF!,$A18&amp;$B18&amp;$C18&amp;$D18&amp;$E18&amp;$F18))</formula>
    </cfRule>
  </conditionalFormatting>
  <conditionalFormatting sqref="A18:F18">
    <cfRule type="expression" dxfId="75" priority="76">
      <formula>IF(ISBLANK(#REF!),0,SEARCH(#REF!,$A19&amp;$B19&amp;$C19&amp;$D19&amp;$E19&amp;$F19))</formula>
    </cfRule>
  </conditionalFormatting>
  <conditionalFormatting sqref="A19:F19">
    <cfRule type="expression" dxfId="74" priority="75">
      <formula>IF(ISBLANK(#REF!),0,SEARCH(#REF!,$A20&amp;$B20&amp;$C20&amp;$D20&amp;$E20&amp;$F20))</formula>
    </cfRule>
  </conditionalFormatting>
  <conditionalFormatting sqref="A20:F20">
    <cfRule type="expression" dxfId="73" priority="74">
      <formula>IF(ISBLANK(#REF!),0,SEARCH(#REF!,$A21&amp;$B21&amp;$C21&amp;$D21&amp;$E21&amp;$F21))</formula>
    </cfRule>
  </conditionalFormatting>
  <conditionalFormatting sqref="A21:F21">
    <cfRule type="expression" dxfId="72" priority="73">
      <formula>IF(ISBLANK(#REF!),0,SEARCH(#REF!,$A22&amp;$B22&amp;$C22&amp;$D22&amp;$E22&amp;$F22))</formula>
    </cfRule>
  </conditionalFormatting>
  <conditionalFormatting sqref="A22:F22">
    <cfRule type="expression" dxfId="71" priority="72">
      <formula>IF(ISBLANK(#REF!),0,SEARCH(#REF!,$A23&amp;$B23&amp;$C23&amp;$D23&amp;$E23&amp;$F23))</formula>
    </cfRule>
  </conditionalFormatting>
  <conditionalFormatting sqref="A23:F23">
    <cfRule type="expression" dxfId="70" priority="71">
      <formula>IF(ISBLANK(#REF!),0,SEARCH(#REF!,$A24&amp;$B24&amp;$C24&amp;$D24&amp;$E24&amp;$F24))</formula>
    </cfRule>
  </conditionalFormatting>
  <conditionalFormatting sqref="A24:F24">
    <cfRule type="expression" dxfId="69" priority="70">
      <formula>IF(ISBLANK(#REF!),0,SEARCH(#REF!,$A25&amp;$B25&amp;$C25&amp;$D25&amp;$E25&amp;$F25))</formula>
    </cfRule>
  </conditionalFormatting>
  <conditionalFormatting sqref="A25:F25">
    <cfRule type="expression" dxfId="68" priority="69">
      <formula>IF(ISBLANK(#REF!),0,SEARCH(#REF!,$A26&amp;$B26&amp;$C26&amp;$D26&amp;$E26&amp;$F26))</formula>
    </cfRule>
  </conditionalFormatting>
  <conditionalFormatting sqref="A26:F26">
    <cfRule type="expression" dxfId="67" priority="68">
      <formula>IF(ISBLANK(#REF!),0,SEARCH(#REF!,$A27&amp;$B27&amp;$C27&amp;$D27&amp;$E27&amp;$F27))</formula>
    </cfRule>
  </conditionalFormatting>
  <conditionalFormatting sqref="A27:F27">
    <cfRule type="expression" dxfId="66" priority="67">
      <formula>IF(ISBLANK(#REF!),0,SEARCH(#REF!,$A28&amp;$B28&amp;$C28&amp;$D28&amp;$E28&amp;$F28))</formula>
    </cfRule>
  </conditionalFormatting>
  <conditionalFormatting sqref="A28:F28">
    <cfRule type="expression" dxfId="65" priority="66">
      <formula>IF(ISBLANK(#REF!),0,SEARCH(#REF!,$A29&amp;$B29&amp;$C29&amp;$D29&amp;$E29&amp;$F29))</formula>
    </cfRule>
  </conditionalFormatting>
  <conditionalFormatting sqref="A29:F29">
    <cfRule type="expression" dxfId="64" priority="65">
      <formula>IF(ISBLANK(#REF!),0,SEARCH(#REF!,$A30&amp;$B30&amp;$C30&amp;$D30&amp;$E30&amp;$F30))</formula>
    </cfRule>
  </conditionalFormatting>
  <conditionalFormatting sqref="A30:F30">
    <cfRule type="expression" dxfId="63" priority="64">
      <formula>IF(ISBLANK(#REF!),0,SEARCH(#REF!,$A31&amp;$B31&amp;$C31&amp;$D31&amp;$E31&amp;$F31))</formula>
    </cfRule>
  </conditionalFormatting>
  <conditionalFormatting sqref="A31:F31">
    <cfRule type="expression" dxfId="62" priority="63">
      <formula>IF(ISBLANK(#REF!),0,SEARCH(#REF!,$A32&amp;$B32&amp;$C32&amp;$D32&amp;$E32&amp;$F32))</formula>
    </cfRule>
  </conditionalFormatting>
  <conditionalFormatting sqref="A32:F32">
    <cfRule type="expression" dxfId="61" priority="62">
      <formula>IF(ISBLANK(#REF!),0,SEARCH(#REF!,$A33&amp;$B33&amp;$C33&amp;$D33&amp;$E33&amp;$F33))</formula>
    </cfRule>
  </conditionalFormatting>
  <conditionalFormatting sqref="A33:F33">
    <cfRule type="expression" dxfId="60" priority="61">
      <formula>IF(ISBLANK(#REF!),0,SEARCH(#REF!,$A34&amp;$B34&amp;$C34&amp;$D34&amp;$E34&amp;$F34))</formula>
    </cfRule>
  </conditionalFormatting>
  <conditionalFormatting sqref="A34:F34">
    <cfRule type="expression" dxfId="59" priority="60">
      <formula>IF(ISBLANK(#REF!),0,SEARCH(#REF!,$A35&amp;$B35&amp;$C35&amp;$D35&amp;$E35&amp;$F35))</formula>
    </cfRule>
  </conditionalFormatting>
  <conditionalFormatting sqref="A35:F35">
    <cfRule type="expression" dxfId="58" priority="59">
      <formula>IF(ISBLANK(#REF!),0,SEARCH(#REF!,$A36&amp;$B36&amp;$C36&amp;$D36&amp;$E36&amp;$F36))</formula>
    </cfRule>
  </conditionalFormatting>
  <conditionalFormatting sqref="A36:F36">
    <cfRule type="expression" dxfId="57" priority="58">
      <formula>IF(ISBLANK(#REF!),0,SEARCH(#REF!,$A37&amp;$B37&amp;$C37&amp;$D37&amp;$E37&amp;$F37))</formula>
    </cfRule>
  </conditionalFormatting>
  <conditionalFormatting sqref="A37:F37">
    <cfRule type="expression" dxfId="56" priority="57">
      <formula>IF(ISBLANK(#REF!),0,SEARCH(#REF!,$A38&amp;$B38&amp;$C38&amp;$D38&amp;$E38&amp;$F38))</formula>
    </cfRule>
  </conditionalFormatting>
  <conditionalFormatting sqref="A38:F38">
    <cfRule type="expression" dxfId="55" priority="56">
      <formula>IF(ISBLANK(#REF!),0,SEARCH(#REF!,$A39&amp;$B39&amp;$C39&amp;$D39&amp;$E39&amp;$F39))</formula>
    </cfRule>
  </conditionalFormatting>
  <conditionalFormatting sqref="A39:F39">
    <cfRule type="expression" dxfId="54" priority="55">
      <formula>IF(ISBLANK(#REF!),0,SEARCH(#REF!,$A40&amp;$B40&amp;$C40&amp;$D40&amp;$E40&amp;$F40))</formula>
    </cfRule>
  </conditionalFormatting>
  <conditionalFormatting sqref="A40:F40">
    <cfRule type="expression" dxfId="53" priority="54">
      <formula>IF(ISBLANK(#REF!),0,SEARCH(#REF!,$A41&amp;$B41&amp;$C41&amp;$D41&amp;$E41&amp;$F41))</formula>
    </cfRule>
  </conditionalFormatting>
  <conditionalFormatting sqref="A41:F41">
    <cfRule type="expression" dxfId="52" priority="53">
      <formula>IF(ISBLANK(#REF!),0,SEARCH(#REF!,$A42&amp;$B42&amp;$C42&amp;$D42&amp;$E42&amp;$F42))</formula>
    </cfRule>
  </conditionalFormatting>
  <conditionalFormatting sqref="A42:F42">
    <cfRule type="expression" dxfId="51" priority="52">
      <formula>IF(ISBLANK(#REF!),0,SEARCH(#REF!,$A43&amp;$B43&amp;$C43&amp;$D43&amp;$E43&amp;$F43))</formula>
    </cfRule>
  </conditionalFormatting>
  <conditionalFormatting sqref="A43:F43">
    <cfRule type="expression" dxfId="50" priority="51">
      <formula>IF(ISBLANK(#REF!),0,SEARCH(#REF!,$A44&amp;$B44&amp;$C44&amp;$D44&amp;$E44&amp;$F44))</formula>
    </cfRule>
  </conditionalFormatting>
  <conditionalFormatting sqref="A44:F44">
    <cfRule type="expression" dxfId="49" priority="50">
      <formula>IF(ISBLANK(#REF!),0,SEARCH(#REF!,$A45&amp;$B45&amp;$C45&amp;$D45&amp;$E45&amp;$F45))</formula>
    </cfRule>
  </conditionalFormatting>
  <conditionalFormatting sqref="A45:F45">
    <cfRule type="expression" dxfId="48" priority="49">
      <formula>IF(ISBLANK(#REF!),0,SEARCH(#REF!,$A46&amp;$B46&amp;$C46&amp;$D46&amp;$E46&amp;$F46))</formula>
    </cfRule>
  </conditionalFormatting>
  <conditionalFormatting sqref="A46:F46">
    <cfRule type="expression" dxfId="47" priority="48">
      <formula>IF(ISBLANK(#REF!),0,SEARCH(#REF!,$A47&amp;$B47&amp;$C47&amp;$D47&amp;$E47&amp;$F47))</formula>
    </cfRule>
  </conditionalFormatting>
  <conditionalFormatting sqref="A47:F47">
    <cfRule type="expression" dxfId="46" priority="47">
      <formula>IF(ISBLANK(#REF!),0,SEARCH(#REF!,$A48&amp;$B48&amp;$C48&amp;$D48&amp;$E48&amp;$F48))</formula>
    </cfRule>
  </conditionalFormatting>
  <conditionalFormatting sqref="A48:F48">
    <cfRule type="expression" dxfId="45" priority="46">
      <formula>IF(ISBLANK(#REF!),0,SEARCH(#REF!,$A49&amp;$B49&amp;$C49&amp;$D49&amp;$E49&amp;$F49))</formula>
    </cfRule>
  </conditionalFormatting>
  <conditionalFormatting sqref="A49:F49">
    <cfRule type="expression" dxfId="44" priority="45">
      <formula>IF(ISBLANK(#REF!),0,SEARCH(#REF!,$A50&amp;$B50&amp;$C50&amp;$D50&amp;$E50&amp;$F50))</formula>
    </cfRule>
  </conditionalFormatting>
  <conditionalFormatting sqref="A50:F50">
    <cfRule type="expression" dxfId="43" priority="44">
      <formula>IF(ISBLANK(#REF!),0,SEARCH(#REF!,$A51&amp;$B51&amp;$C51&amp;$D51&amp;$E51&amp;$F51))</formula>
    </cfRule>
  </conditionalFormatting>
  <conditionalFormatting sqref="A51:F51">
    <cfRule type="expression" dxfId="42" priority="43">
      <formula>IF(ISBLANK(#REF!),0,SEARCH(#REF!,$A52&amp;$B52&amp;$C52&amp;$D52&amp;$E52&amp;$F52))</formula>
    </cfRule>
  </conditionalFormatting>
  <conditionalFormatting sqref="A52:F52">
    <cfRule type="expression" dxfId="41" priority="42">
      <formula>IF(ISBLANK(#REF!),0,SEARCH(#REF!,$A53&amp;$B53&amp;$C53&amp;$D53&amp;$E53&amp;$F53))</formula>
    </cfRule>
  </conditionalFormatting>
  <conditionalFormatting sqref="A53:F53">
    <cfRule type="expression" dxfId="40" priority="41">
      <formula>IF(ISBLANK(#REF!),0,SEARCH(#REF!,$A54&amp;$B54&amp;$C54&amp;$D54&amp;$E54&amp;$F54))</formula>
    </cfRule>
  </conditionalFormatting>
  <conditionalFormatting sqref="A54:F54">
    <cfRule type="expression" dxfId="39" priority="40">
      <formula>IF(ISBLANK(#REF!),0,SEARCH(#REF!,$A55&amp;$B55&amp;$C55&amp;$D55&amp;$E55&amp;$F55))</formula>
    </cfRule>
  </conditionalFormatting>
  <conditionalFormatting sqref="A55:F55">
    <cfRule type="expression" dxfId="38" priority="39">
      <formula>IF(ISBLANK(#REF!),0,SEARCH(#REF!,$A56&amp;$B56&amp;$C56&amp;$D56&amp;$E56&amp;$F56))</formula>
    </cfRule>
  </conditionalFormatting>
  <conditionalFormatting sqref="A56:F56">
    <cfRule type="expression" dxfId="37" priority="38">
      <formula>IF(ISBLANK(#REF!),0,SEARCH(#REF!,$A57&amp;$B57&amp;$C57&amp;$D57&amp;$E57&amp;$F57))</formula>
    </cfRule>
  </conditionalFormatting>
  <conditionalFormatting sqref="A57:F57">
    <cfRule type="expression" dxfId="36" priority="37">
      <formula>IF(ISBLANK(#REF!),0,SEARCH(#REF!,$A58&amp;$B58&amp;$C58&amp;$D58&amp;$E58&amp;$F58))</formula>
    </cfRule>
  </conditionalFormatting>
  <conditionalFormatting sqref="A58:F58">
    <cfRule type="expression" dxfId="35" priority="36">
      <formula>IF(ISBLANK(#REF!),0,SEARCH(#REF!,$A59&amp;$B59&amp;$C59&amp;$D59&amp;$E59&amp;$F59))</formula>
    </cfRule>
  </conditionalFormatting>
  <conditionalFormatting sqref="A59:F59">
    <cfRule type="expression" dxfId="34" priority="35">
      <formula>IF(ISBLANK(#REF!),0,SEARCH(#REF!,$A60&amp;$B60&amp;$C60&amp;$D60&amp;$E60&amp;$F60))</formula>
    </cfRule>
  </conditionalFormatting>
  <conditionalFormatting sqref="A60:F60">
    <cfRule type="expression" dxfId="33" priority="34">
      <formula>IF(ISBLANK(#REF!),0,SEARCH(#REF!,$A61&amp;$B61&amp;$C61&amp;$D61&amp;$E61&amp;$F61))</formula>
    </cfRule>
  </conditionalFormatting>
  <conditionalFormatting sqref="A61:F61">
    <cfRule type="expression" dxfId="32" priority="33">
      <formula>IF(ISBLANK(#REF!),0,SEARCH(#REF!,$A62&amp;$B62&amp;$C62&amp;$D62&amp;$E62&amp;$F62))</formula>
    </cfRule>
  </conditionalFormatting>
  <conditionalFormatting sqref="A62:F62">
    <cfRule type="expression" dxfId="31" priority="32">
      <formula>IF(ISBLANK(#REF!),0,SEARCH(#REF!,$A63&amp;$B63&amp;$C63&amp;$D63&amp;$E63&amp;$F63))</formula>
    </cfRule>
  </conditionalFormatting>
  <conditionalFormatting sqref="A63:F63">
    <cfRule type="expression" dxfId="30" priority="31">
      <formula>IF(ISBLANK(#REF!),0,SEARCH(#REF!,$A64&amp;$B64&amp;$C64&amp;$D64&amp;$E64&amp;$F64))</formula>
    </cfRule>
  </conditionalFormatting>
  <conditionalFormatting sqref="A64:F64">
    <cfRule type="expression" dxfId="29" priority="30">
      <formula>IF(ISBLANK(#REF!),0,SEARCH(#REF!,$A65&amp;$B65&amp;$C65&amp;$D65&amp;$E65&amp;$F65))</formula>
    </cfRule>
  </conditionalFormatting>
  <conditionalFormatting sqref="A65:F65">
    <cfRule type="expression" dxfId="28" priority="29">
      <formula>IF(ISBLANK(#REF!),0,SEARCH(#REF!,$A66&amp;$B66&amp;$C66&amp;$D66&amp;$E66&amp;$F66))</formula>
    </cfRule>
  </conditionalFormatting>
  <conditionalFormatting sqref="A66:F66">
    <cfRule type="expression" dxfId="27" priority="28">
      <formula>IF(ISBLANK(#REF!),0,SEARCH(#REF!,$A67&amp;$B67&amp;$C67&amp;$D67&amp;$E67&amp;$F67))</formula>
    </cfRule>
  </conditionalFormatting>
  <conditionalFormatting sqref="A67:F67">
    <cfRule type="expression" dxfId="26" priority="27">
      <formula>IF(ISBLANK(#REF!),0,SEARCH(#REF!,$A68&amp;$B68&amp;$C68&amp;$D68&amp;$E68&amp;$F68))</formula>
    </cfRule>
  </conditionalFormatting>
  <conditionalFormatting sqref="A68:F68">
    <cfRule type="expression" dxfId="25" priority="26">
      <formula>IF(ISBLANK(#REF!),0,SEARCH(#REF!,$A69&amp;$B69&amp;$C69&amp;$D69&amp;$E69&amp;$F69))</formula>
    </cfRule>
  </conditionalFormatting>
  <conditionalFormatting sqref="A69:F69">
    <cfRule type="expression" dxfId="24" priority="25">
      <formula>IF(ISBLANK(#REF!),0,SEARCH(#REF!,$A70&amp;$B70&amp;$C70&amp;$D70&amp;$E70&amp;$F70))</formula>
    </cfRule>
  </conditionalFormatting>
  <conditionalFormatting sqref="A70:F70">
    <cfRule type="expression" dxfId="23" priority="24">
      <formula>IF(ISBLANK(#REF!),0,SEARCH(#REF!,$A71&amp;$B71&amp;$C71&amp;$D71&amp;$E71&amp;$F71))</formula>
    </cfRule>
  </conditionalFormatting>
  <conditionalFormatting sqref="A71:F71">
    <cfRule type="expression" dxfId="22" priority="23">
      <formula>IF(ISBLANK(#REF!),0,SEARCH(#REF!,$A72&amp;$B72&amp;$C72&amp;$D72&amp;$E72&amp;$F72))</formula>
    </cfRule>
  </conditionalFormatting>
  <conditionalFormatting sqref="A72:F72">
    <cfRule type="expression" dxfId="21" priority="22">
      <formula>IF(ISBLANK(#REF!),0,SEARCH(#REF!,$A73&amp;$B73&amp;$C73&amp;$D73&amp;$E73&amp;$F73))</formula>
    </cfRule>
  </conditionalFormatting>
  <conditionalFormatting sqref="A73:F73">
    <cfRule type="expression" dxfId="20" priority="21">
      <formula>IF(ISBLANK(#REF!),0,SEARCH(#REF!,$A74&amp;$B74&amp;$C74&amp;$D74&amp;$E74&amp;$F74))</formula>
    </cfRule>
  </conditionalFormatting>
  <conditionalFormatting sqref="A74:F74">
    <cfRule type="expression" dxfId="19" priority="20">
      <formula>IF(ISBLANK(#REF!),0,SEARCH(#REF!,$A75&amp;$B75&amp;$C75&amp;$D75&amp;$E75&amp;$F75))</formula>
    </cfRule>
  </conditionalFormatting>
  <conditionalFormatting sqref="A75:F75">
    <cfRule type="expression" dxfId="18" priority="19">
      <formula>IF(ISBLANK(#REF!),0,SEARCH(#REF!,$A76&amp;$B76&amp;$C76&amp;$D76&amp;$E76&amp;$F76))</formula>
    </cfRule>
  </conditionalFormatting>
  <conditionalFormatting sqref="A76:F76">
    <cfRule type="expression" dxfId="17" priority="18">
      <formula>IF(ISBLANK(#REF!),0,SEARCH(#REF!,$A77&amp;$B77&amp;$C77&amp;$D77&amp;$E77&amp;$F77))</formula>
    </cfRule>
  </conditionalFormatting>
  <conditionalFormatting sqref="A77:F77">
    <cfRule type="expression" dxfId="16" priority="17">
      <formula>IF(ISBLANK(#REF!),0,SEARCH(#REF!,$A78&amp;$B78&amp;$C78&amp;$D78&amp;$E78&amp;$F78))</formula>
    </cfRule>
  </conditionalFormatting>
  <conditionalFormatting sqref="A78:F78">
    <cfRule type="expression" dxfId="15" priority="16">
      <formula>IF(ISBLANK(#REF!),0,SEARCH(#REF!,$A79&amp;$B79&amp;$C79&amp;$D79&amp;$E79&amp;$F79))</formula>
    </cfRule>
  </conditionalFormatting>
  <conditionalFormatting sqref="A79:F79">
    <cfRule type="expression" dxfId="14" priority="15">
      <formula>IF(ISBLANK(#REF!),0,SEARCH(#REF!,$A80&amp;$B80&amp;$C80&amp;$D80&amp;$E80&amp;$F80))</formula>
    </cfRule>
  </conditionalFormatting>
  <conditionalFormatting sqref="A80:F80">
    <cfRule type="expression" dxfId="13" priority="14">
      <formula>IF(ISBLANK(#REF!),0,SEARCH(#REF!,$A81&amp;$B81&amp;$C81&amp;$D81&amp;$E81&amp;$F81))</formula>
    </cfRule>
  </conditionalFormatting>
  <conditionalFormatting sqref="A81:F81">
    <cfRule type="expression" dxfId="12" priority="13">
      <formula>IF(ISBLANK(#REF!),0,SEARCH(#REF!,$A82&amp;$B82&amp;$C82&amp;$D82&amp;$E82&amp;$F82))</formula>
    </cfRule>
  </conditionalFormatting>
  <conditionalFormatting sqref="A82:F82">
    <cfRule type="expression" dxfId="11" priority="12">
      <formula>IF(ISBLANK(#REF!),0,SEARCH(#REF!,$A83&amp;$B83&amp;$C83&amp;$D83&amp;$E83&amp;$F83))</formula>
    </cfRule>
  </conditionalFormatting>
  <conditionalFormatting sqref="A83:F83">
    <cfRule type="expression" dxfId="10" priority="11">
      <formula>IF(ISBLANK(#REF!),0,SEARCH(#REF!,$A84&amp;$B84&amp;$C84&amp;$D84&amp;$E84&amp;$F84))</formula>
    </cfRule>
  </conditionalFormatting>
  <conditionalFormatting sqref="A84:F84">
    <cfRule type="expression" dxfId="9" priority="10">
      <formula>IF(ISBLANK(#REF!),0,SEARCH(#REF!,$A85&amp;$B85&amp;$C85&amp;$D85&amp;$E85&amp;$F85))</formula>
    </cfRule>
  </conditionalFormatting>
  <conditionalFormatting sqref="A85:F85">
    <cfRule type="expression" dxfId="8" priority="9">
      <formula>IF(ISBLANK(#REF!),0,SEARCH(#REF!,$A86&amp;$B86&amp;$C86&amp;$D86&amp;$E86&amp;$F86))</formula>
    </cfRule>
  </conditionalFormatting>
  <conditionalFormatting sqref="A86:F86">
    <cfRule type="expression" dxfId="7" priority="8">
      <formula>IF(ISBLANK(#REF!),0,SEARCH(#REF!,#REF!&amp;#REF!&amp;#REF!&amp;#REF!&amp;#REF!&amp;#REF!))</formula>
    </cfRule>
  </conditionalFormatting>
  <conditionalFormatting sqref="A87:F87">
    <cfRule type="expression" dxfId="6" priority="7">
      <formula>IF(ISBLANK(#REF!),0,SEARCH(#REF!,$A88&amp;$B88&amp;$C88&amp;$D88&amp;$E88&amp;$F88))</formula>
    </cfRule>
  </conditionalFormatting>
  <conditionalFormatting sqref="A88:F88">
    <cfRule type="expression" dxfId="5" priority="6">
      <formula>IF(ISBLANK(#REF!),0,SEARCH(#REF!,$A89&amp;$B89&amp;$C89&amp;$D89&amp;$E89&amp;$F89))</formula>
    </cfRule>
  </conditionalFormatting>
  <conditionalFormatting sqref="A89:F89">
    <cfRule type="expression" dxfId="4" priority="5">
      <formula>IF(ISBLANK(#REF!),0,SEARCH(#REF!,$A90&amp;$B90&amp;$C90&amp;$D90&amp;$E90&amp;$F90))</formula>
    </cfRule>
  </conditionalFormatting>
  <conditionalFormatting sqref="A90:F90">
    <cfRule type="expression" dxfId="3" priority="4">
      <formula>IF(ISBLANK(#REF!),0,SEARCH(#REF!,#REF!&amp;#REF!&amp;#REF!&amp;#REF!&amp;#REF!&amp;#REF!))</formula>
    </cfRule>
  </conditionalFormatting>
  <conditionalFormatting sqref="A91:F91">
    <cfRule type="expression" dxfId="2" priority="3">
      <formula>IF(ISBLANK(#REF!),0,SEARCH(#REF!,$A92&amp;$B92&amp;$C92&amp;$D92&amp;$E92&amp;$F92))</formula>
    </cfRule>
  </conditionalFormatting>
  <conditionalFormatting sqref="A92:F92">
    <cfRule type="expression" dxfId="1" priority="2">
      <formula>IF(ISBLANK(#REF!),0,SEARCH(#REF!,$A93&amp;$B93&amp;$C93&amp;$D93&amp;$E93&amp;$F93))</formula>
    </cfRule>
  </conditionalFormatting>
  <conditionalFormatting sqref="A93:F93">
    <cfRule type="expression" dxfId="0" priority="1">
      <formula>IF(ISBLANK(#REF!),0,SEARCH(#REF!,$A94&amp;$B94&amp;$C94&amp;$D94&amp;$E94&amp;$F94))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>
    <tabColor rgb="FF00B050"/>
  </sheetPr>
  <dimension ref="A1:M88"/>
  <sheetViews>
    <sheetView workbookViewId="0">
      <selection activeCell="H27" sqref="H27"/>
    </sheetView>
  </sheetViews>
  <sheetFormatPr defaultRowHeight="15" x14ac:dyDescent="0.25"/>
  <cols>
    <col min="3" max="3" width="23.7109375" customWidth="1"/>
    <col min="4" max="4" width="13.85546875" bestFit="1" customWidth="1"/>
  </cols>
  <sheetData>
    <row r="1" spans="1:9" s="168" customFormat="1" ht="26.25" thickBot="1" x14ac:dyDescent="0.25">
      <c r="A1" s="176" t="s">
        <v>64</v>
      </c>
      <c r="B1" s="178" t="s">
        <v>57</v>
      </c>
      <c r="C1" s="63" t="s">
        <v>65</v>
      </c>
      <c r="D1" s="62" t="s">
        <v>66</v>
      </c>
      <c r="E1" s="62" t="s">
        <v>5</v>
      </c>
      <c r="F1" s="62" t="s">
        <v>6</v>
      </c>
      <c r="G1" s="62" t="s">
        <v>19</v>
      </c>
      <c r="H1" s="238"/>
      <c r="I1" s="239"/>
    </row>
    <row r="2" spans="1:9" s="167" customFormat="1" ht="11.25" x14ac:dyDescent="0.2">
      <c r="A2" s="169">
        <v>1817</v>
      </c>
      <c r="B2" s="170">
        <v>43158</v>
      </c>
      <c r="C2" s="171" t="s">
        <v>132</v>
      </c>
      <c r="D2" s="172">
        <v>5872.8819999999996</v>
      </c>
      <c r="E2" s="172">
        <v>528.55899999999997</v>
      </c>
      <c r="F2" s="172">
        <v>528.55899999999997</v>
      </c>
      <c r="G2" s="172">
        <v>6930</v>
      </c>
    </row>
    <row r="3" spans="1:9" s="167" customFormat="1" ht="11.25" x14ac:dyDescent="0.2">
      <c r="A3" s="169">
        <v>1818</v>
      </c>
      <c r="B3" s="170">
        <v>43158</v>
      </c>
      <c r="C3" s="171" t="s">
        <v>130</v>
      </c>
      <c r="D3" s="172">
        <v>7658.2330000000002</v>
      </c>
      <c r="E3" s="172">
        <v>689.24099999999999</v>
      </c>
      <c r="F3" s="172">
        <v>689.24099999999999</v>
      </c>
      <c r="G3" s="172">
        <v>9036.7150000000001</v>
      </c>
    </row>
    <row r="4" spans="1:9" s="167" customFormat="1" ht="11.25" x14ac:dyDescent="0.2">
      <c r="A4" s="169"/>
      <c r="B4" s="170"/>
      <c r="C4" s="171"/>
      <c r="D4" s="172"/>
      <c r="E4" s="172"/>
      <c r="F4" s="172"/>
      <c r="G4" s="172"/>
    </row>
    <row r="5" spans="1:9" s="167" customFormat="1" ht="11.25" x14ac:dyDescent="0.2">
      <c r="A5" s="169"/>
      <c r="B5" s="170"/>
      <c r="C5" s="171"/>
      <c r="D5" s="213" t="s">
        <v>107</v>
      </c>
      <c r="E5" s="213" t="s">
        <v>108</v>
      </c>
      <c r="F5" s="213" t="s">
        <v>109</v>
      </c>
      <c r="G5" s="213" t="s">
        <v>110</v>
      </c>
    </row>
    <row r="6" spans="1:9" s="167" customFormat="1" ht="11.25" x14ac:dyDescent="0.2">
      <c r="A6" s="169"/>
      <c r="B6" s="170"/>
      <c r="C6" s="214" t="s">
        <v>111</v>
      </c>
      <c r="D6" s="212">
        <v>7658.2330000000002</v>
      </c>
      <c r="E6" s="212">
        <v>689.24099999999999</v>
      </c>
      <c r="F6" s="212">
        <v>689.24099999999999</v>
      </c>
      <c r="G6" s="212">
        <v>9036.7150000000001</v>
      </c>
    </row>
    <row r="7" spans="1:9" s="167" customFormat="1" ht="11.25" x14ac:dyDescent="0.2">
      <c r="A7" s="169"/>
      <c r="B7" s="170"/>
      <c r="C7" s="171"/>
      <c r="D7" s="172"/>
      <c r="E7" s="172"/>
      <c r="F7" s="172"/>
      <c r="G7" s="172"/>
    </row>
    <row r="8" spans="1:9" s="167" customFormat="1" ht="11.25" x14ac:dyDescent="0.2">
      <c r="A8" s="169"/>
      <c r="B8" s="170"/>
      <c r="C8" s="171"/>
      <c r="D8" s="172"/>
      <c r="E8" s="172"/>
      <c r="F8" s="172"/>
      <c r="G8" s="172"/>
    </row>
    <row r="9" spans="1:9" s="167" customFormat="1" ht="11.25" x14ac:dyDescent="0.2">
      <c r="A9" s="169"/>
      <c r="B9" s="170"/>
      <c r="C9" s="171"/>
      <c r="D9" s="172"/>
      <c r="E9" s="172"/>
      <c r="F9" s="172"/>
      <c r="G9" s="172"/>
    </row>
    <row r="10" spans="1:9" s="167" customFormat="1" ht="11.25" x14ac:dyDescent="0.2">
      <c r="A10" s="169"/>
      <c r="B10" s="170"/>
      <c r="C10" s="171"/>
      <c r="D10" s="172"/>
      <c r="E10" s="172"/>
      <c r="F10" s="172"/>
      <c r="G10" s="172"/>
    </row>
    <row r="11" spans="1:9" s="167" customFormat="1" ht="11.25" x14ac:dyDescent="0.2">
      <c r="A11" s="169"/>
      <c r="B11" s="170"/>
      <c r="C11" s="171"/>
      <c r="D11" s="172"/>
      <c r="E11" s="172"/>
      <c r="F11" s="172"/>
      <c r="G11" s="172"/>
    </row>
    <row r="12" spans="1:9" s="167" customFormat="1" ht="11.25" x14ac:dyDescent="0.2">
      <c r="A12" s="169"/>
      <c r="B12" s="170"/>
      <c r="C12" s="171"/>
      <c r="D12" s="172"/>
      <c r="E12" s="172"/>
      <c r="F12" s="172"/>
      <c r="G12" s="172"/>
    </row>
    <row r="13" spans="1:9" s="167" customFormat="1" ht="11.25" x14ac:dyDescent="0.2">
      <c r="A13" s="169"/>
      <c r="B13" s="170"/>
      <c r="C13" s="171"/>
      <c r="D13" s="172"/>
      <c r="E13" s="172"/>
      <c r="F13" s="172"/>
      <c r="G13" s="172"/>
    </row>
    <row r="14" spans="1:9" s="167" customFormat="1" ht="11.25" x14ac:dyDescent="0.2">
      <c r="A14" s="169"/>
      <c r="B14" s="170"/>
      <c r="C14" s="171"/>
      <c r="D14" s="172"/>
      <c r="E14" s="172"/>
      <c r="F14" s="172"/>
      <c r="G14" s="172"/>
    </row>
    <row r="15" spans="1:9" s="167" customFormat="1" ht="11.25" x14ac:dyDescent="0.2">
      <c r="A15" s="169"/>
      <c r="B15" s="170"/>
      <c r="C15" s="171"/>
      <c r="D15" s="172"/>
      <c r="E15" s="172"/>
      <c r="F15" s="172"/>
      <c r="G15" s="172"/>
    </row>
    <row r="16" spans="1:9" s="167" customFormat="1" ht="11.25" x14ac:dyDescent="0.2">
      <c r="A16" s="169"/>
      <c r="B16" s="170"/>
      <c r="C16" s="171"/>
      <c r="D16" s="172"/>
      <c r="E16" s="172"/>
      <c r="F16" s="172"/>
      <c r="G16" s="172"/>
    </row>
    <row r="17" spans="1:7" s="167" customFormat="1" ht="11.25" x14ac:dyDescent="0.2">
      <c r="A17" s="169"/>
      <c r="B17" s="170"/>
      <c r="C17" s="171"/>
      <c r="D17" s="172"/>
      <c r="E17" s="172"/>
      <c r="F17" s="172"/>
      <c r="G17" s="172"/>
    </row>
    <row r="18" spans="1:7" s="167" customFormat="1" ht="11.25" x14ac:dyDescent="0.2">
      <c r="A18" s="169"/>
      <c r="B18" s="170"/>
      <c r="C18" s="171"/>
      <c r="D18" s="172"/>
      <c r="E18" s="172"/>
      <c r="F18" s="172"/>
      <c r="G18" s="172"/>
    </row>
    <row r="19" spans="1:7" s="167" customFormat="1" ht="11.25" x14ac:dyDescent="0.2">
      <c r="A19" s="169"/>
      <c r="B19" s="170"/>
      <c r="C19" s="171"/>
      <c r="D19" s="172"/>
      <c r="E19" s="172"/>
      <c r="F19" s="172"/>
      <c r="G19" s="172"/>
    </row>
    <row r="20" spans="1:7" s="167" customFormat="1" ht="11.25" x14ac:dyDescent="0.2">
      <c r="A20" s="169"/>
      <c r="B20" s="170"/>
      <c r="C20" s="171"/>
      <c r="D20" s="172"/>
      <c r="E20" s="172"/>
      <c r="F20" s="172"/>
      <c r="G20" s="172"/>
    </row>
    <row r="21" spans="1:7" s="167" customFormat="1" ht="11.25" x14ac:dyDescent="0.2">
      <c r="A21" s="169"/>
      <c r="B21" s="170"/>
      <c r="C21" s="171"/>
      <c r="D21" s="172"/>
      <c r="E21" s="172"/>
      <c r="F21" s="172"/>
      <c r="G21" s="172"/>
    </row>
    <row r="22" spans="1:7" s="167" customFormat="1" ht="11.25" x14ac:dyDescent="0.2">
      <c r="A22" s="169"/>
      <c r="B22" s="170"/>
      <c r="C22" s="171"/>
      <c r="D22" s="172"/>
      <c r="E22" s="172"/>
      <c r="F22" s="172"/>
      <c r="G22" s="172"/>
    </row>
    <row r="23" spans="1:7" s="167" customFormat="1" ht="11.25" x14ac:dyDescent="0.2">
      <c r="A23" s="169"/>
      <c r="B23" s="170"/>
      <c r="C23" s="171"/>
      <c r="D23" s="172"/>
      <c r="E23" s="172"/>
      <c r="F23" s="172"/>
      <c r="G23" s="172"/>
    </row>
    <row r="24" spans="1:7" s="167" customFormat="1" ht="11.25" x14ac:dyDescent="0.2">
      <c r="A24" s="169"/>
      <c r="B24" s="170"/>
      <c r="C24" s="171"/>
      <c r="D24" s="172"/>
      <c r="E24" s="172"/>
      <c r="F24" s="172"/>
      <c r="G24" s="172"/>
    </row>
    <row r="25" spans="1:7" s="167" customFormat="1" ht="11.25" x14ac:dyDescent="0.2">
      <c r="A25" s="169"/>
      <c r="B25" s="170"/>
      <c r="C25" s="171"/>
      <c r="D25" s="172"/>
      <c r="E25" s="172"/>
      <c r="F25" s="172"/>
      <c r="G25" s="172"/>
    </row>
    <row r="26" spans="1:7" s="167" customFormat="1" ht="11.25" x14ac:dyDescent="0.2">
      <c r="A26" s="169"/>
      <c r="B26" s="170"/>
      <c r="C26" s="171"/>
      <c r="D26" s="172"/>
      <c r="E26" s="172"/>
      <c r="F26" s="172"/>
      <c r="G26" s="172"/>
    </row>
    <row r="27" spans="1:7" s="167" customFormat="1" ht="11.25" x14ac:dyDescent="0.2">
      <c r="A27" s="169"/>
      <c r="B27" s="170"/>
      <c r="C27" s="171"/>
      <c r="D27" s="172"/>
      <c r="E27" s="172"/>
      <c r="F27" s="172"/>
      <c r="G27" s="172"/>
    </row>
    <row r="28" spans="1:7" s="167" customFormat="1" ht="11.25" x14ac:dyDescent="0.2">
      <c r="A28" s="169"/>
      <c r="B28" s="170"/>
      <c r="C28" s="171"/>
      <c r="D28" s="172"/>
      <c r="E28" s="172"/>
      <c r="F28" s="172"/>
      <c r="G28" s="172"/>
    </row>
    <row r="29" spans="1:7" s="167" customFormat="1" ht="11.25" x14ac:dyDescent="0.2">
      <c r="A29" s="169"/>
      <c r="B29" s="170"/>
      <c r="C29" s="171"/>
      <c r="D29" s="172"/>
      <c r="E29" s="172"/>
      <c r="F29" s="172"/>
      <c r="G29" s="172"/>
    </row>
    <row r="30" spans="1:7" s="167" customFormat="1" ht="11.25" x14ac:dyDescent="0.2">
      <c r="A30" s="169"/>
      <c r="B30" s="170"/>
      <c r="C30" s="171"/>
      <c r="D30" s="172"/>
      <c r="E30" s="172"/>
      <c r="F30" s="172"/>
      <c r="G30" s="172"/>
    </row>
    <row r="31" spans="1:7" s="167" customFormat="1" ht="11.25" x14ac:dyDescent="0.2">
      <c r="A31" s="169"/>
      <c r="B31" s="170"/>
      <c r="C31" s="171"/>
      <c r="D31" s="172"/>
      <c r="E31" s="172"/>
      <c r="F31" s="172"/>
      <c r="G31" s="172"/>
    </row>
    <row r="32" spans="1:7" s="167" customFormat="1" ht="11.25" x14ac:dyDescent="0.2">
      <c r="A32" s="169"/>
      <c r="B32" s="170"/>
      <c r="C32" s="171"/>
      <c r="D32" s="172"/>
      <c r="E32" s="172"/>
      <c r="F32" s="172"/>
      <c r="G32" s="172"/>
    </row>
    <row r="33" spans="1:7" s="167" customFormat="1" ht="11.25" x14ac:dyDescent="0.2">
      <c r="A33" s="169"/>
      <c r="B33" s="170"/>
      <c r="C33" s="171"/>
      <c r="D33" s="172"/>
      <c r="E33" s="172"/>
      <c r="F33" s="172"/>
      <c r="G33" s="172"/>
    </row>
    <row r="34" spans="1:7" s="167" customFormat="1" ht="11.25" x14ac:dyDescent="0.2">
      <c r="A34" s="169"/>
      <c r="B34" s="170"/>
      <c r="C34" s="171"/>
      <c r="D34" s="172"/>
      <c r="E34" s="172"/>
      <c r="F34" s="172"/>
      <c r="G34" s="172"/>
    </row>
    <row r="35" spans="1:7" s="167" customFormat="1" ht="11.25" x14ac:dyDescent="0.2">
      <c r="A35" s="169"/>
      <c r="B35" s="170"/>
      <c r="C35" s="171"/>
      <c r="D35" s="172"/>
      <c r="E35" s="172"/>
      <c r="F35" s="172"/>
      <c r="G35" s="172"/>
    </row>
    <row r="36" spans="1:7" s="167" customFormat="1" ht="11.25" x14ac:dyDescent="0.2">
      <c r="A36" s="169"/>
      <c r="B36" s="170"/>
      <c r="C36" s="171"/>
      <c r="D36" s="172"/>
      <c r="E36" s="172"/>
      <c r="F36" s="172"/>
      <c r="G36" s="172"/>
    </row>
    <row r="37" spans="1:7" s="167" customFormat="1" ht="11.25" x14ac:dyDescent="0.2">
      <c r="A37" s="169"/>
      <c r="B37" s="170"/>
      <c r="C37" s="171"/>
      <c r="D37" s="213"/>
      <c r="E37" s="213"/>
      <c r="F37" s="213"/>
      <c r="G37" s="213"/>
    </row>
    <row r="38" spans="1:7" s="167" customFormat="1" ht="11.25" x14ac:dyDescent="0.2">
      <c r="A38" s="169"/>
      <c r="B38" s="170"/>
      <c r="C38" s="214"/>
      <c r="D38" s="212"/>
      <c r="E38" s="212"/>
      <c r="F38" s="212"/>
      <c r="G38" s="212"/>
    </row>
    <row r="39" spans="1:7" s="167" customFormat="1" ht="11.25" x14ac:dyDescent="0.2">
      <c r="A39" s="169"/>
      <c r="B39" s="170"/>
      <c r="C39" s="171"/>
      <c r="D39" s="172"/>
      <c r="E39" s="172"/>
      <c r="F39" s="172"/>
      <c r="G39" s="172"/>
    </row>
    <row r="40" spans="1:7" s="167" customFormat="1" ht="11.25" x14ac:dyDescent="0.2">
      <c r="A40" s="169"/>
      <c r="B40" s="170"/>
      <c r="C40" s="171"/>
      <c r="D40" s="172"/>
      <c r="E40" s="172"/>
      <c r="F40" s="172"/>
      <c r="G40" s="172"/>
    </row>
    <row r="41" spans="1:7" s="167" customFormat="1" ht="11.25" x14ac:dyDescent="0.2">
      <c r="A41" s="169"/>
      <c r="B41" s="170"/>
      <c r="C41" s="171"/>
      <c r="D41" s="172"/>
      <c r="E41" s="172"/>
      <c r="F41" s="172"/>
      <c r="G41" s="172"/>
    </row>
    <row r="42" spans="1:7" s="167" customFormat="1" ht="11.25" x14ac:dyDescent="0.2">
      <c r="A42" s="169"/>
      <c r="B42" s="170"/>
      <c r="C42" s="171"/>
      <c r="D42" s="172"/>
      <c r="E42" s="172"/>
      <c r="F42" s="172"/>
      <c r="G42" s="172"/>
    </row>
    <row r="43" spans="1:7" s="167" customFormat="1" ht="11.25" x14ac:dyDescent="0.2">
      <c r="A43" s="169"/>
      <c r="B43" s="170"/>
      <c r="C43" s="171"/>
      <c r="D43" s="172"/>
      <c r="E43" s="172"/>
      <c r="F43" s="172"/>
      <c r="G43" s="172"/>
    </row>
    <row r="44" spans="1:7" s="167" customFormat="1" ht="11.25" x14ac:dyDescent="0.2">
      <c r="A44" s="169"/>
      <c r="B44" s="170"/>
      <c r="C44" s="171"/>
      <c r="D44" s="172"/>
      <c r="E44" s="172"/>
      <c r="F44" s="172"/>
      <c r="G44" s="172"/>
    </row>
    <row r="45" spans="1:7" s="167" customFormat="1" ht="11.25" x14ac:dyDescent="0.2">
      <c r="A45" s="169"/>
      <c r="B45" s="170"/>
      <c r="C45" s="171"/>
      <c r="D45" s="172"/>
      <c r="E45" s="172"/>
      <c r="F45" s="172"/>
      <c r="G45" s="172"/>
    </row>
    <row r="46" spans="1:7" s="167" customFormat="1" ht="11.25" x14ac:dyDescent="0.2">
      <c r="A46" s="169"/>
      <c r="B46" s="170"/>
      <c r="C46" s="171"/>
      <c r="D46" s="172"/>
      <c r="E46" s="172"/>
      <c r="F46" s="172"/>
      <c r="G46" s="172"/>
    </row>
    <row r="47" spans="1:7" s="167" customFormat="1" ht="11.25" x14ac:dyDescent="0.2">
      <c r="A47" s="169"/>
      <c r="B47" s="170"/>
      <c r="C47" s="171"/>
      <c r="D47" s="172"/>
      <c r="E47" s="172"/>
      <c r="F47" s="172"/>
      <c r="G47" s="172"/>
    </row>
    <row r="48" spans="1:7" s="167" customFormat="1" ht="11.25" x14ac:dyDescent="0.2">
      <c r="A48" s="169"/>
      <c r="B48" s="170"/>
      <c r="C48" s="171"/>
      <c r="D48" s="172"/>
      <c r="E48" s="172"/>
      <c r="F48" s="172"/>
      <c r="G48" s="172"/>
    </row>
    <row r="49" spans="1:7" s="167" customFormat="1" ht="11.25" x14ac:dyDescent="0.2">
      <c r="A49" s="169"/>
      <c r="B49" s="170"/>
      <c r="C49" s="171"/>
      <c r="D49" s="172"/>
      <c r="E49" s="172"/>
      <c r="F49" s="172"/>
      <c r="G49" s="172"/>
    </row>
    <row r="50" spans="1:7" s="167" customFormat="1" ht="11.25" x14ac:dyDescent="0.2">
      <c r="A50" s="169"/>
      <c r="B50" s="170"/>
      <c r="C50" s="171"/>
      <c r="D50" s="172"/>
      <c r="E50" s="172"/>
      <c r="F50" s="172"/>
      <c r="G50" s="172"/>
    </row>
    <row r="51" spans="1:7" s="167" customFormat="1" ht="11.25" x14ac:dyDescent="0.2">
      <c r="A51" s="169"/>
      <c r="B51" s="170"/>
      <c r="C51" s="171"/>
      <c r="D51" s="172"/>
      <c r="E51" s="172"/>
      <c r="F51" s="172"/>
      <c r="G51" s="172"/>
    </row>
    <row r="52" spans="1:7" s="167" customFormat="1" ht="11.25" x14ac:dyDescent="0.2">
      <c r="A52" s="169"/>
      <c r="B52" s="170"/>
      <c r="C52" s="171"/>
      <c r="D52" s="172"/>
      <c r="E52" s="172"/>
      <c r="F52" s="172"/>
      <c r="G52" s="172"/>
    </row>
    <row r="53" spans="1:7" s="167" customFormat="1" ht="11.25" x14ac:dyDescent="0.2">
      <c r="A53" s="169"/>
      <c r="B53" s="170"/>
      <c r="C53" s="171"/>
      <c r="D53" s="172"/>
      <c r="E53" s="172"/>
      <c r="F53" s="172"/>
      <c r="G53" s="172"/>
    </row>
    <row r="54" spans="1:7" s="167" customFormat="1" ht="11.25" x14ac:dyDescent="0.2">
      <c r="A54" s="169"/>
      <c r="B54" s="170"/>
      <c r="C54" s="171"/>
      <c r="D54" s="172"/>
      <c r="E54" s="172"/>
      <c r="F54" s="172"/>
      <c r="G54" s="172"/>
    </row>
    <row r="55" spans="1:7" s="167" customFormat="1" ht="11.25" x14ac:dyDescent="0.2">
      <c r="A55" s="169"/>
      <c r="B55" s="170"/>
      <c r="C55" s="171"/>
      <c r="D55" s="172"/>
      <c r="E55" s="172"/>
      <c r="F55" s="172"/>
      <c r="G55" s="172"/>
    </row>
    <row r="56" spans="1:7" s="167" customFormat="1" ht="11.25" x14ac:dyDescent="0.2">
      <c r="A56" s="169"/>
      <c r="B56" s="170"/>
      <c r="C56" s="171"/>
      <c r="D56" s="172"/>
      <c r="E56" s="172"/>
      <c r="F56" s="172"/>
      <c r="G56" s="172"/>
    </row>
    <row r="57" spans="1:7" s="167" customFormat="1" ht="11.25" x14ac:dyDescent="0.2">
      <c r="A57" s="169"/>
      <c r="B57" s="170"/>
      <c r="C57" s="171"/>
      <c r="D57" s="172"/>
      <c r="E57" s="172"/>
      <c r="F57" s="172"/>
      <c r="G57" s="172"/>
    </row>
    <row r="58" spans="1:7" s="167" customFormat="1" ht="11.25" x14ac:dyDescent="0.2">
      <c r="A58" s="169"/>
      <c r="B58" s="170"/>
      <c r="C58" s="171"/>
      <c r="D58" s="172"/>
      <c r="E58" s="172"/>
      <c r="F58" s="172"/>
      <c r="G58" s="172"/>
    </row>
    <row r="59" spans="1:7" s="167" customFormat="1" ht="11.25" x14ac:dyDescent="0.2">
      <c r="A59" s="169"/>
      <c r="B59" s="170"/>
      <c r="C59" s="171"/>
      <c r="D59" s="172"/>
      <c r="E59" s="172"/>
      <c r="F59" s="172"/>
      <c r="G59" s="172"/>
    </row>
    <row r="60" spans="1:7" s="167" customFormat="1" ht="11.25" x14ac:dyDescent="0.2">
      <c r="A60" s="169"/>
      <c r="B60" s="170"/>
      <c r="C60" s="171"/>
      <c r="D60" s="172"/>
      <c r="E60" s="172"/>
      <c r="F60" s="172"/>
      <c r="G60" s="172"/>
    </row>
    <row r="61" spans="1:7" s="167" customFormat="1" ht="11.25" x14ac:dyDescent="0.2">
      <c r="A61" s="169"/>
      <c r="B61" s="170"/>
      <c r="C61" s="171"/>
      <c r="D61" s="172"/>
      <c r="E61" s="172"/>
      <c r="F61" s="172"/>
      <c r="G61" s="172"/>
    </row>
    <row r="62" spans="1:7" s="167" customFormat="1" ht="11.25" x14ac:dyDescent="0.2">
      <c r="A62" s="169"/>
      <c r="B62" s="170"/>
      <c r="C62" s="171"/>
      <c r="D62" s="172"/>
      <c r="E62" s="172"/>
      <c r="F62" s="172"/>
      <c r="G62" s="172"/>
    </row>
    <row r="63" spans="1:7" s="167" customFormat="1" ht="11.25" x14ac:dyDescent="0.2">
      <c r="A63" s="169"/>
      <c r="B63" s="170"/>
      <c r="C63" s="171"/>
      <c r="D63" s="172"/>
      <c r="E63" s="172"/>
      <c r="F63" s="172"/>
      <c r="G63" s="172"/>
    </row>
    <row r="64" spans="1:7" s="167" customFormat="1" ht="11.25" x14ac:dyDescent="0.2">
      <c r="A64" s="169"/>
      <c r="B64" s="170"/>
      <c r="C64" s="171"/>
      <c r="D64" s="172"/>
      <c r="E64" s="172"/>
      <c r="F64" s="172"/>
      <c r="G64" s="172"/>
    </row>
    <row r="65" spans="1:13" s="167" customFormat="1" ht="11.25" x14ac:dyDescent="0.2">
      <c r="A65" s="169"/>
      <c r="B65" s="170"/>
      <c r="C65" s="171"/>
      <c r="D65" s="172"/>
      <c r="E65" s="172"/>
      <c r="F65" s="172"/>
      <c r="G65" s="172"/>
    </row>
    <row r="66" spans="1:13" s="167" customFormat="1" ht="11.25" x14ac:dyDescent="0.2">
      <c r="A66" s="169"/>
      <c r="B66" s="170"/>
      <c r="C66" s="171"/>
      <c r="D66" s="172"/>
      <c r="E66" s="172"/>
      <c r="F66" s="172"/>
      <c r="G66" s="172"/>
    </row>
    <row r="67" spans="1:13" s="167" customFormat="1" ht="11.25" x14ac:dyDescent="0.2">
      <c r="A67" s="169"/>
      <c r="B67" s="170"/>
      <c r="C67" s="171"/>
      <c r="D67" s="172"/>
      <c r="E67" s="172"/>
      <c r="F67" s="172"/>
      <c r="G67" s="172"/>
    </row>
    <row r="68" spans="1:13" s="167" customFormat="1" ht="11.25" x14ac:dyDescent="0.2">
      <c r="A68" s="169"/>
      <c r="B68" s="170"/>
      <c r="C68" s="171"/>
      <c r="D68" s="172"/>
      <c r="E68" s="172"/>
      <c r="F68" s="172"/>
      <c r="G68" s="172"/>
    </row>
    <row r="69" spans="1:13" s="167" customFormat="1" ht="11.25" x14ac:dyDescent="0.2">
      <c r="A69" s="169"/>
      <c r="B69" s="170"/>
      <c r="C69" s="171"/>
      <c r="D69" s="172"/>
      <c r="E69" s="172"/>
      <c r="F69" s="172"/>
      <c r="G69" s="172"/>
    </row>
    <row r="70" spans="1:13" s="167" customFormat="1" ht="11.25" x14ac:dyDescent="0.2">
      <c r="A70" s="169"/>
      <c r="B70" s="170"/>
      <c r="C70" s="171"/>
      <c r="D70" s="172"/>
      <c r="E70" s="172"/>
      <c r="F70" s="172"/>
      <c r="G70" s="172"/>
    </row>
    <row r="71" spans="1:13" s="167" customFormat="1" ht="11.25" x14ac:dyDescent="0.2">
      <c r="A71" s="169"/>
      <c r="B71" s="170"/>
      <c r="C71" s="171"/>
      <c r="D71" s="172"/>
      <c r="E71" s="172"/>
      <c r="F71" s="172"/>
      <c r="G71" s="172"/>
    </row>
    <row r="72" spans="1:13" s="167" customFormat="1" ht="11.25" x14ac:dyDescent="0.2">
      <c r="A72" s="169"/>
      <c r="B72" s="170"/>
      <c r="C72" s="171"/>
      <c r="D72" s="172"/>
      <c r="E72" s="172"/>
      <c r="F72" s="172"/>
      <c r="G72" s="172"/>
    </row>
    <row r="73" spans="1:13" s="167" customFormat="1" ht="11.25" x14ac:dyDescent="0.2">
      <c r="A73" s="169"/>
      <c r="B73" s="173"/>
      <c r="C73" s="173"/>
      <c r="D73" s="174"/>
      <c r="G73" s="172"/>
      <c r="H73" s="172"/>
    </row>
    <row r="74" spans="1:13" s="167" customFormat="1" ht="11.25" x14ac:dyDescent="0.2">
      <c r="A74" s="169"/>
      <c r="B74" s="173"/>
      <c r="C74" s="173"/>
      <c r="D74" s="214"/>
      <c r="E74" s="254"/>
      <c r="F74" s="254"/>
      <c r="G74" s="213"/>
      <c r="H74" s="172"/>
      <c r="M74" s="167" t="s">
        <v>75</v>
      </c>
    </row>
    <row r="75" spans="1:13" s="167" customFormat="1" ht="11.25" x14ac:dyDescent="0.2">
      <c r="A75" s="169"/>
      <c r="B75" s="173"/>
      <c r="C75" s="257"/>
      <c r="D75" s="237"/>
      <c r="E75" s="253"/>
      <c r="F75" s="253"/>
      <c r="G75" s="212"/>
      <c r="H75" s="172"/>
    </row>
    <row r="76" spans="1:13" s="167" customFormat="1" ht="11.25" x14ac:dyDescent="0.2">
      <c r="A76" s="169"/>
      <c r="B76" s="173"/>
      <c r="C76" s="173"/>
      <c r="D76" s="171"/>
      <c r="G76" s="172"/>
      <c r="H76" s="172"/>
    </row>
    <row r="77" spans="1:13" s="167" customFormat="1" ht="11.25" x14ac:dyDescent="0.2">
      <c r="A77" s="169"/>
      <c r="B77" s="173"/>
      <c r="C77" s="173"/>
      <c r="D77" s="171"/>
      <c r="G77" s="172"/>
      <c r="H77" s="172"/>
    </row>
    <row r="78" spans="1:13" s="167" customFormat="1" ht="11.25" x14ac:dyDescent="0.2">
      <c r="A78" s="169"/>
      <c r="B78" s="173"/>
      <c r="C78" s="173"/>
      <c r="D78" s="171"/>
      <c r="G78" s="172"/>
      <c r="H78" s="172"/>
    </row>
    <row r="79" spans="1:13" s="167" customFormat="1" ht="11.25" x14ac:dyDescent="0.2">
      <c r="A79" s="169"/>
      <c r="B79" s="173"/>
      <c r="C79" s="173"/>
      <c r="D79" s="171"/>
      <c r="G79" s="172"/>
      <c r="H79" s="172"/>
    </row>
    <row r="80" spans="1:13" s="167" customFormat="1" ht="11.25" x14ac:dyDescent="0.2">
      <c r="A80" s="169"/>
      <c r="B80" s="173"/>
      <c r="C80" s="173"/>
      <c r="D80" s="171"/>
      <c r="G80" s="172"/>
      <c r="H80" s="172"/>
    </row>
    <row r="81" spans="1:8" s="167" customFormat="1" ht="11.25" x14ac:dyDescent="0.2">
      <c r="A81" s="169"/>
      <c r="B81" s="173"/>
      <c r="C81" s="173"/>
      <c r="D81" s="171"/>
      <c r="G81" s="172"/>
      <c r="H81" s="172"/>
    </row>
    <row r="82" spans="1:8" s="167" customFormat="1" ht="11.25" x14ac:dyDescent="0.2">
      <c r="A82" s="169"/>
      <c r="B82" s="173"/>
      <c r="C82" s="173"/>
      <c r="D82" s="171"/>
      <c r="G82" s="172"/>
      <c r="H82" s="172"/>
    </row>
    <row r="83" spans="1:8" s="167" customFormat="1" ht="11.25" x14ac:dyDescent="0.2">
      <c r="A83" s="169"/>
      <c r="B83" s="173"/>
      <c r="C83" s="173"/>
      <c r="D83" s="171"/>
      <c r="G83" s="172"/>
      <c r="H83" s="172"/>
    </row>
    <row r="84" spans="1:8" s="167" customFormat="1" ht="11.25" x14ac:dyDescent="0.2">
      <c r="A84" s="169"/>
      <c r="B84" s="173"/>
      <c r="C84" s="173"/>
      <c r="D84" s="171"/>
      <c r="G84" s="172"/>
      <c r="H84" s="172"/>
    </row>
    <row r="85" spans="1:8" s="167" customFormat="1" ht="11.25" x14ac:dyDescent="0.2">
      <c r="A85" s="169"/>
      <c r="B85" s="173"/>
      <c r="C85" s="173"/>
      <c r="D85" s="171"/>
      <c r="G85" s="172"/>
      <c r="H85" s="172"/>
    </row>
    <row r="87" spans="1:8" x14ac:dyDescent="0.25">
      <c r="E87" s="210"/>
      <c r="F87" s="210"/>
      <c r="G87" s="210"/>
      <c r="H87" s="210"/>
    </row>
    <row r="88" spans="1:8" x14ac:dyDescent="0.25">
      <c r="D88" s="210"/>
      <c r="E88" s="211"/>
      <c r="F88" s="1"/>
      <c r="G88" s="1"/>
      <c r="H88" s="1"/>
    </row>
  </sheetData>
  <pageMargins left="0.7" right="0.7" top="0.75" bottom="0.75" header="0.3" footer="0.3"/>
  <pageSetup orientation="portrait" horizontalDpi="4294967293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">
    <tabColor rgb="FF7030A0"/>
  </sheetPr>
  <dimension ref="A1:G501"/>
  <sheetViews>
    <sheetView showWhiteSpace="0" view="pageLayout" topLeftCell="A3" zoomScale="85" zoomScaleNormal="100" zoomScalePageLayoutView="85" workbookViewId="0">
      <selection activeCell="C5" sqref="C5:E5"/>
    </sheetView>
  </sheetViews>
  <sheetFormatPr defaultRowHeight="12" x14ac:dyDescent="0.2"/>
  <cols>
    <col min="1" max="1" width="9.140625" style="164" customWidth="1"/>
    <col min="2" max="2" width="10.140625" style="164" customWidth="1"/>
    <col min="3" max="3" width="32" style="165" customWidth="1"/>
    <col min="4" max="4" width="10" style="181" customWidth="1"/>
    <col min="5" max="5" width="9.140625" style="181" customWidth="1"/>
    <col min="6" max="6" width="8.5703125" style="181" customWidth="1"/>
    <col min="7" max="7" width="11.5703125" style="181" customWidth="1"/>
    <col min="8" max="16384" width="9.140625" style="182"/>
  </cols>
  <sheetData>
    <row r="1" spans="1:7" ht="15" customHeight="1" x14ac:dyDescent="0.2">
      <c r="A1" s="444"/>
      <c r="B1" s="445"/>
      <c r="C1" s="654" t="s">
        <v>335</v>
      </c>
      <c r="D1" s="654"/>
      <c r="E1" s="654"/>
      <c r="F1" s="649" t="s">
        <v>327</v>
      </c>
      <c r="G1" s="650"/>
    </row>
    <row r="2" spans="1:7" s="167" customFormat="1" ht="11.25" customHeight="1" x14ac:dyDescent="0.2">
      <c r="A2" s="446"/>
      <c r="B2" s="438"/>
      <c r="C2" s="655"/>
      <c r="D2" s="655"/>
      <c r="E2" s="655"/>
      <c r="F2" s="651"/>
      <c r="G2" s="652"/>
    </row>
    <row r="3" spans="1:7" s="167" customFormat="1" x14ac:dyDescent="0.2">
      <c r="A3" s="447"/>
      <c r="B3" s="437"/>
      <c r="C3" s="539" t="s">
        <v>20</v>
      </c>
      <c r="D3" s="539"/>
      <c r="E3" s="539"/>
      <c r="F3" s="459" t="s">
        <v>113</v>
      </c>
      <c r="G3" s="460">
        <v>43191</v>
      </c>
    </row>
    <row r="4" spans="1:7" s="167" customFormat="1" x14ac:dyDescent="0.2">
      <c r="A4" s="447"/>
      <c r="B4" s="437"/>
      <c r="C4" s="539" t="s">
        <v>333</v>
      </c>
      <c r="D4" s="539"/>
      <c r="E4" s="539"/>
      <c r="F4" s="463" t="s">
        <v>112</v>
      </c>
      <c r="G4" s="460">
        <v>43220</v>
      </c>
    </row>
    <row r="5" spans="1:7" s="167" customFormat="1" x14ac:dyDescent="0.2">
      <c r="A5" s="448"/>
      <c r="B5" s="449"/>
      <c r="C5" s="653" t="s">
        <v>337</v>
      </c>
      <c r="D5" s="653"/>
      <c r="E5" s="653"/>
      <c r="F5" s="450"/>
      <c r="G5" s="451"/>
    </row>
    <row r="6" spans="1:7" s="167" customFormat="1" ht="24" x14ac:dyDescent="0.2">
      <c r="A6" s="452" t="s">
        <v>64</v>
      </c>
      <c r="B6" s="452" t="s">
        <v>57</v>
      </c>
      <c r="C6" s="453" t="s">
        <v>315</v>
      </c>
      <c r="D6" s="452" t="s">
        <v>66</v>
      </c>
      <c r="E6" s="452" t="s">
        <v>5</v>
      </c>
      <c r="F6" s="452" t="s">
        <v>6</v>
      </c>
      <c r="G6" s="452" t="s">
        <v>328</v>
      </c>
    </row>
    <row r="7" spans="1:7" s="508" customFormat="1" ht="11.25" x14ac:dyDescent="0.2">
      <c r="A7" s="513">
        <v>1847</v>
      </c>
      <c r="B7" s="514">
        <v>43192</v>
      </c>
      <c r="C7" s="515" t="s">
        <v>132</v>
      </c>
      <c r="D7" s="516">
        <v>17672.3</v>
      </c>
      <c r="E7" s="516">
        <v>1590.51</v>
      </c>
      <c r="F7" s="516">
        <v>1590.51</v>
      </c>
      <c r="G7" s="516">
        <v>20853.32</v>
      </c>
    </row>
    <row r="8" spans="1:7" s="508" customFormat="1" ht="11.25" x14ac:dyDescent="0.2">
      <c r="A8" s="513">
        <v>1848</v>
      </c>
      <c r="B8" s="514">
        <v>43192</v>
      </c>
      <c r="C8" s="515" t="s">
        <v>130</v>
      </c>
      <c r="D8" s="516">
        <v>18363.04</v>
      </c>
      <c r="E8" s="516">
        <v>1578.97</v>
      </c>
      <c r="F8" s="516">
        <v>1578.97</v>
      </c>
      <c r="G8" s="516">
        <v>21520.97</v>
      </c>
    </row>
    <row r="9" spans="1:7" s="508" customFormat="1" ht="11.25" x14ac:dyDescent="0.2">
      <c r="A9" s="513">
        <v>1849</v>
      </c>
      <c r="B9" s="514">
        <v>43192</v>
      </c>
      <c r="C9" s="515" t="s">
        <v>130</v>
      </c>
      <c r="D9" s="516">
        <v>13189.421</v>
      </c>
      <c r="E9" s="516">
        <v>1187.049</v>
      </c>
      <c r="F9" s="516">
        <v>1187.049</v>
      </c>
      <c r="G9" s="516">
        <v>15563.519</v>
      </c>
    </row>
    <row r="10" spans="1:7" s="508" customFormat="1" ht="11.25" x14ac:dyDescent="0.2">
      <c r="A10" s="513">
        <v>1850</v>
      </c>
      <c r="B10" s="514">
        <v>43192</v>
      </c>
      <c r="C10" s="515" t="s">
        <v>133</v>
      </c>
      <c r="D10" s="516">
        <v>9564.1949999999997</v>
      </c>
      <c r="E10" s="516">
        <v>860.779</v>
      </c>
      <c r="F10" s="516">
        <v>860.779</v>
      </c>
      <c r="G10" s="516">
        <v>11285.753000000001</v>
      </c>
    </row>
    <row r="11" spans="1:7" s="508" customFormat="1" ht="11.25" x14ac:dyDescent="0.2">
      <c r="A11" s="513">
        <v>1851</v>
      </c>
      <c r="B11" s="514">
        <v>43193</v>
      </c>
      <c r="C11" s="515" t="s">
        <v>131</v>
      </c>
      <c r="D11" s="516">
        <v>12720.951999999999</v>
      </c>
      <c r="E11" s="516">
        <v>1054.7429999999999</v>
      </c>
      <c r="F11" s="516">
        <v>1054.7429999999999</v>
      </c>
      <c r="G11" s="516">
        <v>14830.438</v>
      </c>
    </row>
    <row r="12" spans="1:7" s="508" customFormat="1" ht="11.25" x14ac:dyDescent="0.2">
      <c r="A12" s="513">
        <v>1852</v>
      </c>
      <c r="B12" s="514">
        <v>43193</v>
      </c>
      <c r="C12" s="515" t="s">
        <v>121</v>
      </c>
      <c r="D12" s="516">
        <v>10012.700999999999</v>
      </c>
      <c r="E12" s="516">
        <v>815.23400000000004</v>
      </c>
      <c r="F12" s="516">
        <v>815.23400000000004</v>
      </c>
      <c r="G12" s="516">
        <v>11643.169</v>
      </c>
    </row>
    <row r="13" spans="1:7" s="508" customFormat="1" ht="11.25" x14ac:dyDescent="0.2">
      <c r="A13" s="513">
        <v>1853</v>
      </c>
      <c r="B13" s="514">
        <v>43193</v>
      </c>
      <c r="C13" s="515" t="s">
        <v>124</v>
      </c>
      <c r="D13" s="516">
        <v>25667.83</v>
      </c>
      <c r="E13" s="516">
        <v>2050.8760000000002</v>
      </c>
      <c r="F13" s="516">
        <v>2050.8760000000002</v>
      </c>
      <c r="G13" s="516">
        <v>29769.581999999999</v>
      </c>
    </row>
    <row r="14" spans="1:7" s="508" customFormat="1" ht="11.25" x14ac:dyDescent="0.2">
      <c r="A14" s="513">
        <v>1854</v>
      </c>
      <c r="B14" s="514">
        <v>43194</v>
      </c>
      <c r="C14" s="515" t="s">
        <v>130</v>
      </c>
      <c r="D14" s="516">
        <v>8790.1029999999992</v>
      </c>
      <c r="E14" s="516">
        <v>791.10900000000004</v>
      </c>
      <c r="F14" s="516">
        <v>791.10900000000004</v>
      </c>
      <c r="G14" s="516">
        <v>10372.321</v>
      </c>
    </row>
    <row r="15" spans="1:7" s="508" customFormat="1" ht="11.25" x14ac:dyDescent="0.2">
      <c r="A15" s="513">
        <v>1855</v>
      </c>
      <c r="B15" s="514">
        <v>43194</v>
      </c>
      <c r="C15" s="515" t="s">
        <v>132</v>
      </c>
      <c r="D15" s="516">
        <v>3772.3980000000001</v>
      </c>
      <c r="E15" s="516">
        <v>242.65</v>
      </c>
      <c r="F15" s="516">
        <v>242.65</v>
      </c>
      <c r="G15" s="516">
        <v>4257.6980000000003</v>
      </c>
    </row>
    <row r="16" spans="1:7" s="508" customFormat="1" ht="11.25" x14ac:dyDescent="0.2">
      <c r="A16" s="513">
        <v>1856</v>
      </c>
      <c r="B16" s="514">
        <v>43194</v>
      </c>
      <c r="C16" s="515" t="s">
        <v>125</v>
      </c>
      <c r="D16" s="516">
        <v>5797.8280000000004</v>
      </c>
      <c r="E16" s="516">
        <v>347.86900000000003</v>
      </c>
      <c r="F16" s="516">
        <v>347.86900000000003</v>
      </c>
      <c r="G16" s="516">
        <v>6493.5659999999998</v>
      </c>
    </row>
    <row r="17" spans="1:7" s="508" customFormat="1" ht="11.25" x14ac:dyDescent="0.2">
      <c r="A17" s="513">
        <v>1857</v>
      </c>
      <c r="B17" s="514">
        <v>43194</v>
      </c>
      <c r="C17" s="515" t="s">
        <v>138</v>
      </c>
      <c r="D17" s="516">
        <v>6551.2179999999998</v>
      </c>
      <c r="E17" s="516">
        <v>589.61</v>
      </c>
      <c r="F17" s="516">
        <v>589.61</v>
      </c>
      <c r="G17" s="516">
        <v>7730.4380000000001</v>
      </c>
    </row>
    <row r="18" spans="1:7" s="508" customFormat="1" ht="11.25" x14ac:dyDescent="0.2">
      <c r="A18" s="513">
        <v>1858</v>
      </c>
      <c r="B18" s="514">
        <v>43194</v>
      </c>
      <c r="C18" s="515" t="s">
        <v>124</v>
      </c>
      <c r="D18" s="516">
        <v>8145.1469999999999</v>
      </c>
      <c r="E18" s="516">
        <v>733.06399999999996</v>
      </c>
      <c r="F18" s="516">
        <v>733.06399999999996</v>
      </c>
      <c r="G18" s="516">
        <v>9611.2749999999996</v>
      </c>
    </row>
    <row r="19" spans="1:7" s="508" customFormat="1" ht="11.25" x14ac:dyDescent="0.2">
      <c r="A19" s="513">
        <v>1859</v>
      </c>
      <c r="B19" s="514">
        <v>43195</v>
      </c>
      <c r="C19" s="515" t="s">
        <v>129</v>
      </c>
      <c r="D19" s="516">
        <v>28698.91</v>
      </c>
      <c r="E19" s="516">
        <v>2370.0990000000002</v>
      </c>
      <c r="F19" s="516">
        <v>2370.0990000000002</v>
      </c>
      <c r="G19" s="516">
        <v>33439.108</v>
      </c>
    </row>
    <row r="20" spans="1:7" s="508" customFormat="1" ht="11.25" x14ac:dyDescent="0.2">
      <c r="A20" s="513">
        <v>1860</v>
      </c>
      <c r="B20" s="514">
        <v>43195</v>
      </c>
      <c r="C20" s="515" t="s">
        <v>128</v>
      </c>
      <c r="D20" s="516">
        <v>16341.557000000001</v>
      </c>
      <c r="E20" s="516">
        <v>1470.741</v>
      </c>
      <c r="F20" s="516">
        <v>1470.741</v>
      </c>
      <c r="G20" s="516">
        <v>19283.039000000001</v>
      </c>
    </row>
    <row r="21" spans="1:7" s="508" customFormat="1" ht="11.25" x14ac:dyDescent="0.2">
      <c r="A21" s="513">
        <v>1861</v>
      </c>
      <c r="B21" s="514">
        <v>43195</v>
      </c>
      <c r="C21" s="515" t="s">
        <v>128</v>
      </c>
      <c r="D21" s="516">
        <v>20898.343000000001</v>
      </c>
      <c r="E21" s="516">
        <v>1709.502</v>
      </c>
      <c r="F21" s="516">
        <v>1709.502</v>
      </c>
      <c r="G21" s="516">
        <v>24317.347000000002</v>
      </c>
    </row>
    <row r="22" spans="1:7" s="508" customFormat="1" ht="11.25" x14ac:dyDescent="0.2">
      <c r="A22" s="513">
        <v>1862</v>
      </c>
      <c r="B22" s="514">
        <v>43196</v>
      </c>
      <c r="C22" s="515" t="s">
        <v>126</v>
      </c>
      <c r="D22" s="516">
        <v>16819.931</v>
      </c>
      <c r="E22" s="516">
        <v>1427.885</v>
      </c>
      <c r="F22" s="516">
        <v>1427.885</v>
      </c>
      <c r="G22" s="516">
        <v>19675.701000000001</v>
      </c>
    </row>
    <row r="23" spans="1:7" s="508" customFormat="1" ht="11.25" x14ac:dyDescent="0.2">
      <c r="A23" s="513">
        <v>1863</v>
      </c>
      <c r="B23" s="514">
        <v>43196</v>
      </c>
      <c r="C23" s="515" t="s">
        <v>123</v>
      </c>
      <c r="D23" s="516">
        <v>23878.238000000001</v>
      </c>
      <c r="E23" s="516">
        <v>2056.9050000000002</v>
      </c>
      <c r="F23" s="516">
        <v>2056.9050000000002</v>
      </c>
      <c r="G23" s="516">
        <v>27992.047999999999</v>
      </c>
    </row>
    <row r="24" spans="1:7" s="508" customFormat="1" ht="11.25" x14ac:dyDescent="0.2">
      <c r="A24" s="513">
        <v>1864</v>
      </c>
      <c r="B24" s="514">
        <v>43196</v>
      </c>
      <c r="C24" s="515" t="s">
        <v>123</v>
      </c>
      <c r="D24" s="516">
        <v>2346.8110000000001</v>
      </c>
      <c r="E24" s="516">
        <v>211.21299999999999</v>
      </c>
      <c r="F24" s="516">
        <v>211.21299999999999</v>
      </c>
      <c r="G24" s="516">
        <v>2769.2370000000001</v>
      </c>
    </row>
    <row r="25" spans="1:7" s="508" customFormat="1" ht="11.25" x14ac:dyDescent="0.2">
      <c r="A25" s="513">
        <v>1865</v>
      </c>
      <c r="B25" s="514">
        <v>43196</v>
      </c>
      <c r="C25" s="515" t="s">
        <v>126</v>
      </c>
      <c r="D25" s="516">
        <v>3302.9090000000001</v>
      </c>
      <c r="E25" s="516">
        <v>297.262</v>
      </c>
      <c r="F25" s="516">
        <v>297.262</v>
      </c>
      <c r="G25" s="516">
        <v>3897.433</v>
      </c>
    </row>
    <row r="26" spans="1:7" s="508" customFormat="1" ht="11.25" x14ac:dyDescent="0.2">
      <c r="A26" s="513">
        <v>1866</v>
      </c>
      <c r="B26" s="514">
        <v>43198</v>
      </c>
      <c r="C26" s="515" t="s">
        <v>122</v>
      </c>
      <c r="D26" s="516">
        <v>3476.7449999999999</v>
      </c>
      <c r="E26" s="516">
        <v>312.90699999999998</v>
      </c>
      <c r="F26" s="516">
        <v>312.90699999999998</v>
      </c>
      <c r="G26" s="516">
        <v>4102.5590000000002</v>
      </c>
    </row>
    <row r="27" spans="1:7" s="508" customFormat="1" ht="11.25" x14ac:dyDescent="0.2">
      <c r="A27" s="513">
        <v>1867</v>
      </c>
      <c r="B27" s="514">
        <v>43198</v>
      </c>
      <c r="C27" s="515" t="s">
        <v>124</v>
      </c>
      <c r="D27" s="516">
        <v>5562.7849999999999</v>
      </c>
      <c r="E27" s="516">
        <v>500.65100000000001</v>
      </c>
      <c r="F27" s="516">
        <v>500.65100000000001</v>
      </c>
      <c r="G27" s="516">
        <v>6564.0870000000004</v>
      </c>
    </row>
    <row r="28" spans="1:7" s="508" customFormat="1" ht="11.25" x14ac:dyDescent="0.2">
      <c r="A28" s="513">
        <v>1868</v>
      </c>
      <c r="B28" s="514">
        <v>43197</v>
      </c>
      <c r="C28" s="515" t="s">
        <v>125</v>
      </c>
      <c r="D28" s="516">
        <v>15228.208000000001</v>
      </c>
      <c r="E28" s="516">
        <v>1370.539</v>
      </c>
      <c r="F28" s="516">
        <v>1370.539</v>
      </c>
      <c r="G28" s="516">
        <v>17969.286</v>
      </c>
    </row>
    <row r="29" spans="1:7" s="508" customFormat="1" ht="11.25" x14ac:dyDescent="0.2">
      <c r="A29" s="513">
        <v>1869</v>
      </c>
      <c r="B29" s="514">
        <v>43199</v>
      </c>
      <c r="C29" s="515" t="s">
        <v>130</v>
      </c>
      <c r="D29" s="516">
        <v>8478.8410000000003</v>
      </c>
      <c r="E29" s="516">
        <v>763.096</v>
      </c>
      <c r="F29" s="516">
        <v>763.096</v>
      </c>
      <c r="G29" s="516">
        <v>10005.032999999999</v>
      </c>
    </row>
    <row r="30" spans="1:7" s="508" customFormat="1" ht="11.25" x14ac:dyDescent="0.2">
      <c r="A30" s="513">
        <v>1870</v>
      </c>
      <c r="B30" s="514">
        <v>43200</v>
      </c>
      <c r="C30" s="515" t="s">
        <v>128</v>
      </c>
      <c r="D30" s="516">
        <v>16047.686</v>
      </c>
      <c r="E30" s="516">
        <v>1344.0650000000001</v>
      </c>
      <c r="F30" s="516">
        <v>1344.0650000000001</v>
      </c>
      <c r="G30" s="516">
        <v>18735.815999999999</v>
      </c>
    </row>
    <row r="31" spans="1:7" s="508" customFormat="1" ht="11.25" x14ac:dyDescent="0.2">
      <c r="A31" s="513">
        <v>1871</v>
      </c>
      <c r="B31" s="514">
        <v>43200</v>
      </c>
      <c r="C31" s="515" t="s">
        <v>134</v>
      </c>
      <c r="D31" s="516">
        <v>3531.0720000000001</v>
      </c>
      <c r="E31" s="516">
        <v>317.79599999999999</v>
      </c>
      <c r="F31" s="516">
        <v>317.79599999999999</v>
      </c>
      <c r="G31" s="516">
        <v>4166.6639999999998</v>
      </c>
    </row>
    <row r="32" spans="1:7" s="508" customFormat="1" ht="11.25" x14ac:dyDescent="0.2">
      <c r="A32" s="513">
        <v>1872</v>
      </c>
      <c r="B32" s="514">
        <v>43201</v>
      </c>
      <c r="C32" s="515" t="s">
        <v>130</v>
      </c>
      <c r="D32" s="516">
        <v>6870.2939999999999</v>
      </c>
      <c r="E32" s="516">
        <v>374.18400000000003</v>
      </c>
      <c r="F32" s="516">
        <v>374.18400000000003</v>
      </c>
      <c r="G32" s="516">
        <v>7618.6620000000003</v>
      </c>
    </row>
    <row r="33" spans="1:7" s="508" customFormat="1" ht="11.25" x14ac:dyDescent="0.2">
      <c r="A33" s="513">
        <v>1873</v>
      </c>
      <c r="B33" s="514">
        <v>43202</v>
      </c>
      <c r="C33" s="515" t="s">
        <v>128</v>
      </c>
      <c r="D33" s="516">
        <v>8795.68</v>
      </c>
      <c r="E33" s="516">
        <v>467.44</v>
      </c>
      <c r="F33" s="516">
        <v>467.44</v>
      </c>
      <c r="G33" s="516">
        <v>9730.57</v>
      </c>
    </row>
    <row r="34" spans="1:7" s="508" customFormat="1" ht="11.25" x14ac:dyDescent="0.2">
      <c r="A34" s="513">
        <v>1874</v>
      </c>
      <c r="B34" s="514">
        <v>43202</v>
      </c>
      <c r="C34" s="515" t="s">
        <v>132</v>
      </c>
      <c r="D34" s="516">
        <v>8136.6059999999998</v>
      </c>
      <c r="E34" s="516">
        <v>732.29499999999996</v>
      </c>
      <c r="F34" s="516">
        <v>732.29499999999996</v>
      </c>
      <c r="G34" s="516">
        <v>9601.1959999999999</v>
      </c>
    </row>
    <row r="35" spans="1:7" s="508" customFormat="1" ht="11.25" x14ac:dyDescent="0.2">
      <c r="A35" s="513">
        <v>1875</v>
      </c>
      <c r="B35" s="514">
        <v>43202</v>
      </c>
      <c r="C35" s="515" t="s">
        <v>132</v>
      </c>
      <c r="D35" s="516">
        <v>4438.7219999999998</v>
      </c>
      <c r="E35" s="516">
        <v>205.929</v>
      </c>
      <c r="F35" s="516">
        <v>205.929</v>
      </c>
      <c r="G35" s="516">
        <v>4850.58</v>
      </c>
    </row>
    <row r="36" spans="1:7" s="508" customFormat="1" ht="11.25" x14ac:dyDescent="0.2">
      <c r="A36" s="513">
        <v>1876</v>
      </c>
      <c r="B36" s="514">
        <v>43203</v>
      </c>
      <c r="C36" s="515" t="s">
        <v>122</v>
      </c>
      <c r="D36" s="516">
        <v>4332.5460000000003</v>
      </c>
      <c r="E36" s="516">
        <v>290.46199999999999</v>
      </c>
      <c r="F36" s="516">
        <v>290.46199999999999</v>
      </c>
      <c r="G36" s="516">
        <v>4913.47</v>
      </c>
    </row>
    <row r="37" spans="1:7" s="508" customFormat="1" ht="11.25" x14ac:dyDescent="0.2">
      <c r="A37" s="513">
        <v>1877</v>
      </c>
      <c r="B37" s="514">
        <v>43203</v>
      </c>
      <c r="C37" s="515" t="s">
        <v>123</v>
      </c>
      <c r="D37" s="516">
        <v>9658.3870000000006</v>
      </c>
      <c r="E37" s="516">
        <v>527.83199999999999</v>
      </c>
      <c r="F37" s="516">
        <v>527.83199999999999</v>
      </c>
      <c r="G37" s="516">
        <v>10714.050999999999</v>
      </c>
    </row>
    <row r="38" spans="1:7" s="508" customFormat="1" ht="11.25" x14ac:dyDescent="0.2">
      <c r="A38" s="513">
        <v>1878</v>
      </c>
      <c r="B38" s="514">
        <v>43203</v>
      </c>
      <c r="C38" s="515" t="s">
        <v>124</v>
      </c>
      <c r="D38" s="516">
        <v>2265.6880000000001</v>
      </c>
      <c r="E38" s="516">
        <v>113.556</v>
      </c>
      <c r="F38" s="516">
        <v>113.556</v>
      </c>
      <c r="G38" s="516">
        <v>2492.8000000000002</v>
      </c>
    </row>
    <row r="39" spans="1:7" s="508" customFormat="1" ht="11.25" x14ac:dyDescent="0.2">
      <c r="A39" s="513">
        <v>1879</v>
      </c>
      <c r="B39" s="514">
        <v>43203</v>
      </c>
      <c r="C39" s="515" t="s">
        <v>129</v>
      </c>
      <c r="D39" s="516">
        <v>6798.357</v>
      </c>
      <c r="E39" s="516">
        <v>344.50400000000002</v>
      </c>
      <c r="F39" s="516">
        <v>344.50400000000002</v>
      </c>
      <c r="G39" s="516">
        <v>7487.3649999999998</v>
      </c>
    </row>
    <row r="40" spans="1:7" s="508" customFormat="1" ht="11.25" x14ac:dyDescent="0.2">
      <c r="A40" s="513">
        <v>1880</v>
      </c>
      <c r="B40" s="514">
        <v>43206</v>
      </c>
      <c r="C40" s="515" t="s">
        <v>130</v>
      </c>
      <c r="D40" s="516">
        <v>13785.968000000001</v>
      </c>
      <c r="E40" s="516">
        <v>1240.7370000000001</v>
      </c>
      <c r="F40" s="516">
        <v>1240.7370000000001</v>
      </c>
      <c r="G40" s="516">
        <v>16267.441999999999</v>
      </c>
    </row>
    <row r="41" spans="1:7" s="508" customFormat="1" ht="11.25" x14ac:dyDescent="0.2">
      <c r="A41" s="513">
        <v>1881</v>
      </c>
      <c r="B41" s="514">
        <v>43207</v>
      </c>
      <c r="C41" s="515" t="s">
        <v>128</v>
      </c>
      <c r="D41" s="516">
        <v>11614.779</v>
      </c>
      <c r="E41" s="516">
        <v>1045.3309999999999</v>
      </c>
      <c r="F41" s="516">
        <v>1045.3309999999999</v>
      </c>
      <c r="G41" s="516">
        <v>13705.441000000001</v>
      </c>
    </row>
    <row r="42" spans="1:7" s="508" customFormat="1" ht="11.25" x14ac:dyDescent="0.2">
      <c r="A42" s="513">
        <v>1882</v>
      </c>
      <c r="B42" s="514">
        <v>43208</v>
      </c>
      <c r="C42" s="515" t="s">
        <v>129</v>
      </c>
      <c r="D42" s="516">
        <v>11816.945</v>
      </c>
      <c r="E42" s="516">
        <v>1063.5260000000001</v>
      </c>
      <c r="F42" s="516">
        <v>1063.5260000000001</v>
      </c>
      <c r="G42" s="516">
        <v>13943.996999999999</v>
      </c>
    </row>
    <row r="43" spans="1:7" s="508" customFormat="1" ht="11.25" x14ac:dyDescent="0.2">
      <c r="A43" s="513">
        <v>1883</v>
      </c>
      <c r="B43" s="514">
        <v>43208</v>
      </c>
      <c r="C43" s="515" t="s">
        <v>129</v>
      </c>
      <c r="D43" s="516">
        <v>10604.517</v>
      </c>
      <c r="E43" s="516">
        <v>894.42</v>
      </c>
      <c r="F43" s="516">
        <v>894.42</v>
      </c>
      <c r="G43" s="516">
        <v>12393.357</v>
      </c>
    </row>
    <row r="44" spans="1:7" s="508" customFormat="1" ht="11.25" x14ac:dyDescent="0.2">
      <c r="A44" s="513">
        <v>1884</v>
      </c>
      <c r="B44" s="514">
        <v>43211</v>
      </c>
      <c r="C44" s="515" t="s">
        <v>124</v>
      </c>
      <c r="D44" s="516">
        <v>9795.2540000000008</v>
      </c>
      <c r="E44" s="516">
        <v>881.57299999999998</v>
      </c>
      <c r="F44" s="516">
        <v>881.57299999999998</v>
      </c>
      <c r="G44" s="516">
        <v>11558.4</v>
      </c>
    </row>
    <row r="45" spans="1:7" s="508" customFormat="1" ht="11.25" x14ac:dyDescent="0.2">
      <c r="A45" s="513">
        <v>1885</v>
      </c>
      <c r="B45" s="514">
        <v>43211</v>
      </c>
      <c r="C45" s="515" t="s">
        <v>124</v>
      </c>
      <c r="D45" s="516">
        <v>9080.7980000000007</v>
      </c>
      <c r="E45" s="516">
        <v>571.149</v>
      </c>
      <c r="F45" s="516">
        <v>571.149</v>
      </c>
      <c r="G45" s="516">
        <v>10223.096</v>
      </c>
    </row>
    <row r="46" spans="1:7" s="508" customFormat="1" ht="11.25" x14ac:dyDescent="0.2">
      <c r="A46" s="513">
        <v>1886</v>
      </c>
      <c r="B46" s="514">
        <v>43211</v>
      </c>
      <c r="C46" s="515" t="s">
        <v>125</v>
      </c>
      <c r="D46" s="516">
        <v>10934.316000000001</v>
      </c>
      <c r="E46" s="516">
        <v>875.76300000000003</v>
      </c>
      <c r="F46" s="516">
        <v>875.76300000000003</v>
      </c>
      <c r="G46" s="516">
        <v>12685.842000000001</v>
      </c>
    </row>
    <row r="47" spans="1:7" s="508" customFormat="1" ht="11.25" x14ac:dyDescent="0.2">
      <c r="A47" s="513">
        <v>1887</v>
      </c>
      <c r="B47" s="514">
        <v>43211</v>
      </c>
      <c r="C47" s="515" t="s">
        <v>126</v>
      </c>
      <c r="D47" s="516">
        <v>4301.085</v>
      </c>
      <c r="E47" s="516">
        <v>387.09800000000001</v>
      </c>
      <c r="F47" s="516">
        <v>387.09800000000001</v>
      </c>
      <c r="G47" s="516">
        <v>5075.2809999999999</v>
      </c>
    </row>
    <row r="48" spans="1:7" s="508" customFormat="1" ht="11.25" x14ac:dyDescent="0.2">
      <c r="A48" s="513">
        <v>1888</v>
      </c>
      <c r="B48" s="514">
        <v>43213</v>
      </c>
      <c r="C48" s="515" t="s">
        <v>128</v>
      </c>
      <c r="D48" s="516">
        <v>7708.0680000000002</v>
      </c>
      <c r="E48" s="516">
        <v>693.726</v>
      </c>
      <c r="F48" s="516">
        <v>693.726</v>
      </c>
      <c r="G48" s="516">
        <v>9095.52</v>
      </c>
    </row>
    <row r="49" spans="1:7" s="508" customFormat="1" ht="11.25" x14ac:dyDescent="0.2">
      <c r="A49" s="513">
        <v>1889</v>
      </c>
      <c r="B49" s="514">
        <v>43213</v>
      </c>
      <c r="C49" s="515" t="s">
        <v>130</v>
      </c>
      <c r="D49" s="516">
        <v>5544</v>
      </c>
      <c r="E49" s="516">
        <v>498.96</v>
      </c>
      <c r="F49" s="516">
        <v>498.96</v>
      </c>
      <c r="G49" s="516">
        <v>6541.92</v>
      </c>
    </row>
    <row r="50" spans="1:7" s="508" customFormat="1" ht="11.25" x14ac:dyDescent="0.2">
      <c r="A50" s="513">
        <v>1890</v>
      </c>
      <c r="B50" s="514">
        <v>43213</v>
      </c>
      <c r="C50" s="515" t="s">
        <v>130</v>
      </c>
      <c r="D50" s="516">
        <v>9127.0519999999997</v>
      </c>
      <c r="E50" s="516">
        <v>631.06600000000003</v>
      </c>
      <c r="F50" s="516">
        <v>631.06600000000003</v>
      </c>
      <c r="G50" s="516">
        <v>10389.183999999999</v>
      </c>
    </row>
    <row r="51" spans="1:7" s="508" customFormat="1" ht="11.25" x14ac:dyDescent="0.2">
      <c r="A51" s="513">
        <v>1891</v>
      </c>
      <c r="B51" s="514">
        <v>43214</v>
      </c>
      <c r="C51" s="515" t="s">
        <v>137</v>
      </c>
      <c r="D51" s="516">
        <v>1490.683</v>
      </c>
      <c r="E51" s="516">
        <v>89.441000000000003</v>
      </c>
      <c r="F51" s="516">
        <v>89.441000000000003</v>
      </c>
      <c r="G51" s="516">
        <v>1669.5650000000001</v>
      </c>
    </row>
    <row r="52" spans="1:7" s="508" customFormat="1" ht="11.25" x14ac:dyDescent="0.2">
      <c r="A52" s="513">
        <v>1892</v>
      </c>
      <c r="B52" s="514">
        <v>43214</v>
      </c>
      <c r="C52" s="515" t="s">
        <v>331</v>
      </c>
      <c r="D52" s="516">
        <v>1490.683</v>
      </c>
      <c r="E52" s="516">
        <v>89.441000000000003</v>
      </c>
      <c r="F52" s="516">
        <v>89.441000000000003</v>
      </c>
      <c r="G52" s="516">
        <v>1669.5650000000001</v>
      </c>
    </row>
    <row r="53" spans="1:7" s="508" customFormat="1" ht="11.25" x14ac:dyDescent="0.2">
      <c r="A53" s="513">
        <v>1893</v>
      </c>
      <c r="B53" s="514">
        <v>43216</v>
      </c>
      <c r="C53" s="515" t="s">
        <v>128</v>
      </c>
      <c r="D53" s="516">
        <v>3404.1350000000002</v>
      </c>
      <c r="E53" s="516">
        <v>306.37299999999999</v>
      </c>
      <c r="F53" s="516">
        <v>306.37299999999999</v>
      </c>
      <c r="G53" s="516">
        <v>4016.8809999999999</v>
      </c>
    </row>
    <row r="54" spans="1:7" s="508" customFormat="1" ht="11.25" x14ac:dyDescent="0.2">
      <c r="A54" s="513">
        <v>1894</v>
      </c>
      <c r="B54" s="514">
        <v>43216</v>
      </c>
      <c r="C54" s="515" t="s">
        <v>128</v>
      </c>
      <c r="D54" s="516">
        <v>17449.368999999999</v>
      </c>
      <c r="E54" s="516">
        <v>1510.4559999999999</v>
      </c>
      <c r="F54" s="516">
        <v>1510.4559999999999</v>
      </c>
      <c r="G54" s="516">
        <v>20470.280999999999</v>
      </c>
    </row>
    <row r="55" spans="1:7" s="508" customFormat="1" ht="11.25" x14ac:dyDescent="0.2">
      <c r="A55" s="513">
        <v>1895</v>
      </c>
      <c r="B55" s="514">
        <v>43217</v>
      </c>
      <c r="C55" s="515" t="s">
        <v>132</v>
      </c>
      <c r="D55" s="516">
        <v>8464.0679999999993</v>
      </c>
      <c r="E55" s="516">
        <v>761.76700000000005</v>
      </c>
      <c r="F55" s="516">
        <v>761.76700000000005</v>
      </c>
      <c r="G55" s="516">
        <v>9987.6020000000008</v>
      </c>
    </row>
    <row r="56" spans="1:7" s="508" customFormat="1" ht="11.25" x14ac:dyDescent="0.2">
      <c r="A56" s="513">
        <v>1896</v>
      </c>
      <c r="B56" s="514">
        <v>43217</v>
      </c>
      <c r="C56" s="515" t="s">
        <v>132</v>
      </c>
      <c r="D56" s="516">
        <v>6936.35</v>
      </c>
      <c r="E56" s="516">
        <v>607.83699999999999</v>
      </c>
      <c r="F56" s="516">
        <v>607.83699999999999</v>
      </c>
      <c r="G56" s="516">
        <v>8152.0240000000003</v>
      </c>
    </row>
    <row r="57" spans="1:7" s="508" customFormat="1" ht="11.25" x14ac:dyDescent="0.2">
      <c r="A57" s="513">
        <v>1897</v>
      </c>
      <c r="B57" s="514">
        <v>43218</v>
      </c>
      <c r="C57" s="515" t="s">
        <v>130</v>
      </c>
      <c r="D57" s="516">
        <v>10562.645</v>
      </c>
      <c r="E57" s="516">
        <v>950.63800000000003</v>
      </c>
      <c r="F57" s="516">
        <v>950.63800000000003</v>
      </c>
      <c r="G57" s="516">
        <v>12463.921</v>
      </c>
    </row>
    <row r="58" spans="1:7" s="508" customFormat="1" ht="11.25" x14ac:dyDescent="0.2">
      <c r="A58" s="513">
        <v>1898</v>
      </c>
      <c r="B58" s="514">
        <v>43218</v>
      </c>
      <c r="C58" s="515" t="s">
        <v>131</v>
      </c>
      <c r="D58" s="516">
        <v>8136.067</v>
      </c>
      <c r="E58" s="516">
        <v>699.37599999999998</v>
      </c>
      <c r="F58" s="516">
        <v>699.37599999999998</v>
      </c>
      <c r="G58" s="516">
        <v>9534.8189999999995</v>
      </c>
    </row>
    <row r="59" spans="1:7" s="508" customFormat="1" ht="11.25" x14ac:dyDescent="0.2">
      <c r="A59" s="513">
        <v>1899</v>
      </c>
      <c r="B59" s="514">
        <v>43218</v>
      </c>
      <c r="C59" s="515" t="s">
        <v>122</v>
      </c>
      <c r="D59" s="516">
        <v>8368.6779999999999</v>
      </c>
      <c r="E59" s="516">
        <v>753.18200000000002</v>
      </c>
      <c r="F59" s="516">
        <v>753.18200000000002</v>
      </c>
      <c r="G59" s="516">
        <v>9875.0419999999995</v>
      </c>
    </row>
    <row r="60" spans="1:7" s="508" customFormat="1" ht="11.25" x14ac:dyDescent="0.2">
      <c r="A60" s="513">
        <v>1900</v>
      </c>
      <c r="B60" s="514">
        <v>43218</v>
      </c>
      <c r="C60" s="515" t="s">
        <v>122</v>
      </c>
      <c r="D60" s="516">
        <v>6967.1750000000002</v>
      </c>
      <c r="E60" s="516">
        <v>511.90199999999999</v>
      </c>
      <c r="F60" s="516">
        <v>511.90199999999999</v>
      </c>
      <c r="G60" s="516">
        <v>7990.9790000000003</v>
      </c>
    </row>
    <row r="61" spans="1:7" s="508" customFormat="1" ht="11.25" x14ac:dyDescent="0.2">
      <c r="A61" s="513">
        <v>1901</v>
      </c>
      <c r="B61" s="514">
        <v>43218</v>
      </c>
      <c r="C61" s="515" t="s">
        <v>123</v>
      </c>
      <c r="D61" s="516">
        <v>6269.0119999999997</v>
      </c>
      <c r="E61" s="516">
        <v>564.21199999999999</v>
      </c>
      <c r="F61" s="516">
        <v>564.21199999999999</v>
      </c>
      <c r="G61" s="516">
        <v>7397.4359999999997</v>
      </c>
    </row>
    <row r="62" spans="1:7" s="508" customFormat="1" ht="11.25" x14ac:dyDescent="0.2">
      <c r="A62" s="513">
        <v>1902</v>
      </c>
      <c r="B62" s="514">
        <v>43218</v>
      </c>
      <c r="C62" s="515" t="s">
        <v>125</v>
      </c>
      <c r="D62" s="516">
        <v>5736.6279999999997</v>
      </c>
      <c r="E62" s="516">
        <v>516.29700000000003</v>
      </c>
      <c r="F62" s="516">
        <v>516.29700000000003</v>
      </c>
      <c r="G62" s="516">
        <v>6769.2219999999998</v>
      </c>
    </row>
    <row r="63" spans="1:7" s="508" customFormat="1" ht="11.25" x14ac:dyDescent="0.2">
      <c r="A63" s="513">
        <v>1903</v>
      </c>
      <c r="B63" s="514">
        <v>43218</v>
      </c>
      <c r="C63" s="515" t="s">
        <v>138</v>
      </c>
      <c r="D63" s="516">
        <v>4244.6589999999997</v>
      </c>
      <c r="E63" s="516">
        <v>382.02</v>
      </c>
      <c r="F63" s="516">
        <v>382.02</v>
      </c>
      <c r="G63" s="516">
        <v>5008.6989999999996</v>
      </c>
    </row>
    <row r="64" spans="1:7" s="508" customFormat="1" ht="11.25" x14ac:dyDescent="0.2">
      <c r="A64" s="513">
        <v>1904</v>
      </c>
      <c r="B64" s="514">
        <v>43218</v>
      </c>
      <c r="C64" s="515" t="s">
        <v>123</v>
      </c>
      <c r="D64" s="516">
        <v>1095.6559999999999</v>
      </c>
      <c r="E64" s="516">
        <v>65.739999999999995</v>
      </c>
      <c r="F64" s="516">
        <v>65.739999999999995</v>
      </c>
      <c r="G64" s="516">
        <v>1227.136</v>
      </c>
    </row>
    <row r="65" spans="1:7" s="508" customFormat="1" ht="11.25" x14ac:dyDescent="0.2">
      <c r="A65" s="513">
        <v>1905</v>
      </c>
      <c r="B65" s="514">
        <v>43220</v>
      </c>
      <c r="C65" s="515" t="s">
        <v>133</v>
      </c>
      <c r="D65" s="516">
        <v>4404.4440000000004</v>
      </c>
      <c r="E65" s="516">
        <v>396.4</v>
      </c>
      <c r="F65" s="516">
        <v>396.4</v>
      </c>
      <c r="G65" s="516">
        <v>5197.2439999999997</v>
      </c>
    </row>
    <row r="66" spans="1:7" s="439" customFormat="1" ht="11.25" x14ac:dyDescent="0.2">
      <c r="A66" s="440"/>
      <c r="B66" s="441"/>
      <c r="C66" s="442"/>
      <c r="D66" s="443"/>
      <c r="E66" s="443"/>
      <c r="F66" s="443"/>
      <c r="G66" s="443"/>
    </row>
    <row r="67" spans="1:7" s="439" customFormat="1" ht="11.25" x14ac:dyDescent="0.2">
      <c r="A67" s="440"/>
      <c r="B67" s="441"/>
      <c r="C67" s="442"/>
      <c r="D67" s="458" t="s">
        <v>107</v>
      </c>
      <c r="E67" s="458" t="s">
        <v>108</v>
      </c>
      <c r="F67" s="458" t="s">
        <v>109</v>
      </c>
      <c r="G67" s="458" t="s">
        <v>110</v>
      </c>
    </row>
    <row r="68" spans="1:7" s="439" customFormat="1" ht="11.25" x14ac:dyDescent="0.2">
      <c r="A68" s="440"/>
      <c r="B68" s="441"/>
      <c r="C68" s="214" t="s">
        <v>111</v>
      </c>
      <c r="D68" s="212">
        <v>555488.48300000012</v>
      </c>
      <c r="E68" s="212">
        <v>46039.756999999976</v>
      </c>
      <c r="F68" s="212">
        <v>46039.756999999976</v>
      </c>
      <c r="G68" s="212">
        <v>647567.99699999986</v>
      </c>
    </row>
    <row r="69" spans="1:7" s="439" customFormat="1" ht="11.25" x14ac:dyDescent="0.2">
      <c r="A69" s="440"/>
      <c r="B69" s="441"/>
      <c r="C69" s="442"/>
      <c r="D69" s="443"/>
      <c r="E69" s="443"/>
      <c r="F69" s="443"/>
      <c r="G69" s="443"/>
    </row>
    <row r="70" spans="1:7" s="439" customFormat="1" ht="11.25" x14ac:dyDescent="0.2">
      <c r="A70" s="440"/>
      <c r="B70" s="441"/>
      <c r="C70" s="442"/>
      <c r="D70" s="443"/>
      <c r="E70" s="443"/>
      <c r="F70" s="443"/>
      <c r="G70" s="443"/>
    </row>
    <row r="71" spans="1:7" s="439" customFormat="1" ht="11.25" x14ac:dyDescent="0.2">
      <c r="A71" s="440"/>
      <c r="B71" s="441"/>
      <c r="C71" s="442"/>
      <c r="D71" s="443"/>
      <c r="E71" s="443"/>
      <c r="F71" s="443"/>
      <c r="G71" s="443"/>
    </row>
    <row r="72" spans="1:7" s="439" customFormat="1" ht="11.25" x14ac:dyDescent="0.2">
      <c r="A72" s="440"/>
      <c r="B72" s="441"/>
      <c r="C72" s="442"/>
      <c r="D72" s="443"/>
      <c r="E72" s="443"/>
      <c r="F72" s="443"/>
      <c r="G72" s="443"/>
    </row>
    <row r="73" spans="1:7" s="439" customFormat="1" ht="11.25" x14ac:dyDescent="0.2">
      <c r="A73" s="440"/>
      <c r="B73" s="441"/>
      <c r="C73" s="442"/>
      <c r="D73" s="443"/>
      <c r="E73" s="443"/>
      <c r="F73" s="443"/>
      <c r="G73" s="443"/>
    </row>
    <row r="74" spans="1:7" s="439" customFormat="1" ht="11.25" x14ac:dyDescent="0.2">
      <c r="A74" s="440"/>
      <c r="B74" s="441"/>
      <c r="C74" s="442"/>
      <c r="D74" s="443"/>
      <c r="E74" s="443"/>
      <c r="F74" s="443"/>
      <c r="G74" s="443"/>
    </row>
    <row r="75" spans="1:7" s="439" customFormat="1" ht="11.25" x14ac:dyDescent="0.2">
      <c r="A75" s="440"/>
      <c r="B75" s="441"/>
      <c r="C75" s="442"/>
      <c r="D75" s="443"/>
      <c r="E75" s="443"/>
      <c r="F75" s="443"/>
      <c r="G75" s="443"/>
    </row>
    <row r="76" spans="1:7" s="167" customFormat="1" ht="11.25" x14ac:dyDescent="0.2">
      <c r="A76" s="169"/>
      <c r="B76" s="170"/>
      <c r="C76" s="171"/>
      <c r="D76" s="172"/>
      <c r="E76" s="172"/>
      <c r="F76" s="172"/>
      <c r="G76" s="172"/>
    </row>
    <row r="77" spans="1:7" s="167" customFormat="1" ht="11.25" x14ac:dyDescent="0.2">
      <c r="A77" s="169"/>
      <c r="B77" s="170"/>
      <c r="C77" s="171"/>
      <c r="D77" s="458"/>
      <c r="E77" s="458"/>
      <c r="F77" s="458"/>
      <c r="G77" s="458"/>
    </row>
    <row r="78" spans="1:7" s="183" customFormat="1" x14ac:dyDescent="0.2">
      <c r="C78" s="456"/>
      <c r="D78" s="457"/>
      <c r="E78" s="462"/>
      <c r="F78" s="462"/>
      <c r="G78" s="462"/>
    </row>
    <row r="79" spans="1:7" s="183" customFormat="1" x14ac:dyDescent="0.2">
      <c r="D79" s="208"/>
      <c r="E79" s="208"/>
      <c r="F79" s="208"/>
      <c r="G79" s="208"/>
    </row>
    <row r="80" spans="1:7" x14ac:dyDescent="0.2">
      <c r="A80" s="182"/>
      <c r="B80" s="182"/>
      <c r="C80" s="256"/>
      <c r="D80" s="209"/>
      <c r="E80" s="209"/>
      <c r="F80" s="209"/>
      <c r="G80" s="209"/>
    </row>
    <row r="81" spans="1:7" x14ac:dyDescent="0.2">
      <c r="A81" s="182"/>
      <c r="B81" s="182"/>
      <c r="C81" s="182"/>
      <c r="D81" s="182"/>
      <c r="E81" s="182"/>
      <c r="F81" s="182"/>
      <c r="G81" s="182"/>
    </row>
    <row r="82" spans="1:7" x14ac:dyDescent="0.2">
      <c r="A82" s="182"/>
      <c r="B82" s="182"/>
      <c r="C82" s="182"/>
      <c r="D82" s="182"/>
      <c r="E82" s="182"/>
      <c r="F82" s="182"/>
      <c r="G82" s="182"/>
    </row>
    <row r="83" spans="1:7" x14ac:dyDescent="0.2">
      <c r="A83" s="182"/>
      <c r="B83" s="182"/>
      <c r="C83" s="182"/>
      <c r="D83" s="182"/>
      <c r="E83" s="182"/>
      <c r="F83" s="182"/>
      <c r="G83" s="182"/>
    </row>
    <row r="84" spans="1:7" x14ac:dyDescent="0.2">
      <c r="A84" s="182"/>
      <c r="B84" s="182"/>
      <c r="C84" s="182"/>
      <c r="D84" s="182"/>
      <c r="E84" s="182"/>
      <c r="F84" s="182"/>
      <c r="G84" s="182"/>
    </row>
    <row r="85" spans="1:7" x14ac:dyDescent="0.2">
      <c r="A85" s="182"/>
      <c r="B85" s="182"/>
      <c r="C85" s="182"/>
      <c r="D85" s="182"/>
      <c r="E85" s="182"/>
      <c r="F85" s="182"/>
      <c r="G85" s="182"/>
    </row>
    <row r="86" spans="1:7" x14ac:dyDescent="0.2">
      <c r="A86" s="182"/>
      <c r="B86" s="182"/>
      <c r="C86" s="182"/>
      <c r="D86" s="182"/>
      <c r="E86" s="182"/>
      <c r="F86" s="182"/>
      <c r="G86" s="182"/>
    </row>
    <row r="87" spans="1:7" x14ac:dyDescent="0.2">
      <c r="A87" s="182"/>
      <c r="B87" s="182"/>
      <c r="C87" s="182"/>
      <c r="D87" s="182"/>
      <c r="E87" s="182"/>
      <c r="F87" s="182"/>
      <c r="G87" s="182"/>
    </row>
    <row r="88" spans="1:7" x14ac:dyDescent="0.2">
      <c r="A88" s="182"/>
      <c r="B88" s="182"/>
      <c r="C88" s="182"/>
      <c r="D88" s="182"/>
      <c r="E88" s="182"/>
      <c r="F88" s="182"/>
      <c r="G88" s="182"/>
    </row>
    <row r="89" spans="1:7" x14ac:dyDescent="0.2">
      <c r="A89" s="182"/>
      <c r="B89" s="182"/>
      <c r="C89" s="182"/>
      <c r="D89" s="182"/>
      <c r="E89" s="182"/>
      <c r="F89" s="182"/>
      <c r="G89" s="182"/>
    </row>
    <row r="90" spans="1:7" x14ac:dyDescent="0.2">
      <c r="A90" s="182"/>
      <c r="B90" s="182"/>
      <c r="C90" s="182"/>
      <c r="D90" s="182"/>
      <c r="E90" s="182"/>
      <c r="F90" s="182"/>
      <c r="G90" s="182"/>
    </row>
    <row r="91" spans="1:7" x14ac:dyDescent="0.2">
      <c r="A91" s="182"/>
      <c r="B91" s="182"/>
      <c r="C91" s="182"/>
      <c r="D91" s="182"/>
      <c r="E91" s="182"/>
      <c r="F91" s="182"/>
      <c r="G91" s="182"/>
    </row>
    <row r="92" spans="1:7" x14ac:dyDescent="0.2">
      <c r="A92" s="182"/>
      <c r="B92" s="182"/>
      <c r="C92" s="182"/>
      <c r="D92" s="182"/>
      <c r="E92" s="182"/>
      <c r="F92" s="182"/>
      <c r="G92" s="182"/>
    </row>
    <row r="93" spans="1:7" x14ac:dyDescent="0.2">
      <c r="A93" s="182"/>
      <c r="B93" s="182"/>
      <c r="C93" s="182"/>
      <c r="D93" s="182"/>
      <c r="E93" s="182"/>
      <c r="F93" s="182"/>
      <c r="G93" s="182"/>
    </row>
    <row r="94" spans="1:7" x14ac:dyDescent="0.2">
      <c r="A94" s="182"/>
      <c r="B94" s="182"/>
      <c r="C94" s="182"/>
      <c r="D94" s="182"/>
      <c r="E94" s="182"/>
      <c r="F94" s="182"/>
      <c r="G94" s="182"/>
    </row>
    <row r="95" spans="1:7" x14ac:dyDescent="0.2">
      <c r="A95" s="182"/>
      <c r="B95" s="182"/>
      <c r="C95" s="182"/>
      <c r="D95" s="182"/>
      <c r="E95" s="182"/>
      <c r="F95" s="182"/>
      <c r="G95" s="182"/>
    </row>
    <row r="96" spans="1:7" x14ac:dyDescent="0.2">
      <c r="A96" s="182"/>
      <c r="B96" s="182"/>
      <c r="C96" s="182"/>
      <c r="D96" s="182"/>
      <c r="E96" s="182"/>
      <c r="F96" s="182"/>
      <c r="G96" s="182"/>
    </row>
    <row r="97" spans="1:7" x14ac:dyDescent="0.2">
      <c r="A97" s="182"/>
      <c r="B97" s="182"/>
      <c r="C97" s="182"/>
      <c r="D97" s="182"/>
      <c r="E97" s="182"/>
      <c r="F97" s="182"/>
      <c r="G97" s="182"/>
    </row>
    <row r="98" spans="1:7" x14ac:dyDescent="0.2">
      <c r="A98" s="182"/>
      <c r="B98" s="182"/>
      <c r="C98" s="182"/>
      <c r="D98" s="182"/>
      <c r="E98" s="182"/>
      <c r="F98" s="182"/>
      <c r="G98" s="182"/>
    </row>
    <row r="99" spans="1:7" x14ac:dyDescent="0.2">
      <c r="A99" s="182"/>
      <c r="B99" s="182"/>
      <c r="C99" s="182"/>
      <c r="D99" s="182"/>
      <c r="E99" s="182"/>
      <c r="F99" s="182"/>
      <c r="G99" s="182"/>
    </row>
    <row r="100" spans="1:7" x14ac:dyDescent="0.2">
      <c r="A100" s="182"/>
      <c r="B100" s="182"/>
      <c r="C100" s="182"/>
      <c r="D100" s="182"/>
      <c r="E100" s="182"/>
      <c r="F100" s="182"/>
      <c r="G100" s="182"/>
    </row>
    <row r="101" spans="1:7" x14ac:dyDescent="0.2">
      <c r="A101" s="182"/>
      <c r="B101" s="182"/>
      <c r="C101" s="182"/>
      <c r="D101" s="182"/>
      <c r="E101" s="182"/>
      <c r="F101" s="182"/>
      <c r="G101" s="182"/>
    </row>
    <row r="102" spans="1:7" x14ac:dyDescent="0.2">
      <c r="A102" s="182"/>
      <c r="B102" s="182"/>
      <c r="C102" s="182"/>
      <c r="D102" s="182"/>
      <c r="E102" s="182"/>
      <c r="F102" s="182"/>
      <c r="G102" s="182"/>
    </row>
    <row r="103" spans="1:7" x14ac:dyDescent="0.2">
      <c r="A103" s="182"/>
      <c r="B103" s="182"/>
      <c r="C103" s="182"/>
      <c r="D103" s="182"/>
      <c r="E103" s="182"/>
      <c r="F103" s="182"/>
      <c r="G103" s="182"/>
    </row>
    <row r="104" spans="1:7" x14ac:dyDescent="0.2">
      <c r="A104" s="182"/>
      <c r="B104" s="182"/>
      <c r="C104" s="182"/>
      <c r="D104" s="182"/>
      <c r="E104" s="182"/>
      <c r="F104" s="182"/>
      <c r="G104" s="182"/>
    </row>
    <row r="105" spans="1:7" x14ac:dyDescent="0.2">
      <c r="A105" s="182"/>
      <c r="B105" s="182"/>
      <c r="C105" s="182"/>
      <c r="D105" s="182"/>
      <c r="E105" s="182"/>
      <c r="F105" s="182"/>
      <c r="G105" s="182"/>
    </row>
    <row r="106" spans="1:7" x14ac:dyDescent="0.2">
      <c r="A106" s="182"/>
      <c r="B106" s="182"/>
      <c r="C106" s="182"/>
      <c r="D106" s="182"/>
      <c r="E106" s="182"/>
      <c r="F106" s="182"/>
      <c r="G106" s="182"/>
    </row>
    <row r="107" spans="1:7" x14ac:dyDescent="0.2">
      <c r="A107" s="182"/>
      <c r="B107" s="182"/>
      <c r="C107" s="182"/>
      <c r="D107" s="182"/>
      <c r="E107" s="182"/>
      <c r="F107" s="182"/>
      <c r="G107" s="182"/>
    </row>
    <row r="108" spans="1:7" x14ac:dyDescent="0.2">
      <c r="A108" s="182"/>
      <c r="B108" s="182"/>
      <c r="C108" s="182"/>
      <c r="D108" s="182"/>
      <c r="E108" s="182"/>
      <c r="F108" s="182"/>
      <c r="G108" s="182"/>
    </row>
    <row r="109" spans="1:7" x14ac:dyDescent="0.2">
      <c r="A109" s="182"/>
      <c r="B109" s="182"/>
      <c r="C109" s="182"/>
      <c r="D109" s="182"/>
      <c r="E109" s="182"/>
      <c r="F109" s="182"/>
      <c r="G109" s="182"/>
    </row>
    <row r="110" spans="1:7" x14ac:dyDescent="0.2">
      <c r="A110" s="182"/>
      <c r="B110" s="182"/>
      <c r="C110" s="182"/>
      <c r="D110" s="182"/>
      <c r="E110" s="182"/>
      <c r="F110" s="182"/>
      <c r="G110" s="182"/>
    </row>
    <row r="111" spans="1:7" x14ac:dyDescent="0.2">
      <c r="A111" s="182"/>
      <c r="B111" s="182"/>
      <c r="C111" s="182"/>
      <c r="D111" s="182"/>
      <c r="E111" s="182"/>
      <c r="F111" s="182"/>
      <c r="G111" s="182"/>
    </row>
    <row r="112" spans="1:7" x14ac:dyDescent="0.2">
      <c r="A112" s="182"/>
      <c r="B112" s="182"/>
      <c r="C112" s="182"/>
      <c r="D112" s="182"/>
      <c r="E112" s="182"/>
      <c r="F112" s="182"/>
      <c r="G112" s="182"/>
    </row>
    <row r="113" spans="1:7" x14ac:dyDescent="0.2">
      <c r="A113" s="182"/>
      <c r="B113" s="182"/>
      <c r="C113" s="182"/>
      <c r="D113" s="182"/>
      <c r="E113" s="182"/>
      <c r="F113" s="182"/>
      <c r="G113" s="182"/>
    </row>
    <row r="114" spans="1:7" x14ac:dyDescent="0.2">
      <c r="A114" s="182"/>
      <c r="B114" s="182"/>
      <c r="C114" s="182"/>
      <c r="D114" s="182"/>
      <c r="E114" s="182"/>
      <c r="F114" s="182"/>
      <c r="G114" s="182"/>
    </row>
    <row r="115" spans="1:7" x14ac:dyDescent="0.2">
      <c r="A115" s="182"/>
      <c r="B115" s="182"/>
      <c r="C115" s="182"/>
      <c r="D115" s="182"/>
      <c r="E115" s="182"/>
      <c r="F115" s="182"/>
      <c r="G115" s="182"/>
    </row>
    <row r="116" spans="1:7" x14ac:dyDescent="0.2">
      <c r="A116" s="182"/>
      <c r="B116" s="182"/>
      <c r="C116" s="182"/>
      <c r="D116" s="182"/>
      <c r="E116" s="182"/>
      <c r="F116" s="182"/>
      <c r="G116" s="182"/>
    </row>
    <row r="117" spans="1:7" x14ac:dyDescent="0.2">
      <c r="A117" s="182"/>
      <c r="B117" s="182"/>
      <c r="C117" s="182"/>
      <c r="D117" s="182"/>
      <c r="E117" s="182"/>
      <c r="F117" s="182"/>
      <c r="G117" s="182"/>
    </row>
    <row r="118" spans="1:7" x14ac:dyDescent="0.2">
      <c r="A118" s="182"/>
      <c r="B118" s="182"/>
      <c r="C118" s="182"/>
      <c r="D118" s="182"/>
      <c r="E118" s="182"/>
      <c r="F118" s="182"/>
      <c r="G118" s="182"/>
    </row>
    <row r="119" spans="1:7" x14ac:dyDescent="0.2">
      <c r="A119" s="182"/>
      <c r="B119" s="182"/>
      <c r="C119" s="182"/>
      <c r="D119" s="182"/>
      <c r="E119" s="182"/>
      <c r="F119" s="182"/>
      <c r="G119" s="182"/>
    </row>
    <row r="120" spans="1:7" x14ac:dyDescent="0.2">
      <c r="A120" s="182"/>
      <c r="B120" s="182"/>
      <c r="C120" s="182"/>
      <c r="D120" s="182"/>
      <c r="E120" s="182"/>
      <c r="F120" s="182"/>
      <c r="G120" s="182"/>
    </row>
    <row r="121" spans="1:7" x14ac:dyDescent="0.2">
      <c r="A121" s="182"/>
      <c r="B121" s="182"/>
      <c r="C121" s="182"/>
      <c r="D121" s="182"/>
      <c r="E121" s="182"/>
      <c r="F121" s="182"/>
      <c r="G121" s="182"/>
    </row>
    <row r="122" spans="1:7" x14ac:dyDescent="0.2">
      <c r="A122" s="182"/>
      <c r="B122" s="182"/>
      <c r="C122" s="182"/>
      <c r="D122" s="182"/>
      <c r="E122" s="182"/>
      <c r="F122" s="182"/>
      <c r="G122" s="182"/>
    </row>
    <row r="123" spans="1:7" x14ac:dyDescent="0.2">
      <c r="A123" s="182"/>
      <c r="B123" s="182"/>
      <c r="C123" s="182"/>
      <c r="D123" s="182"/>
      <c r="E123" s="182"/>
      <c r="F123" s="182"/>
      <c r="G123" s="182"/>
    </row>
    <row r="124" spans="1:7" x14ac:dyDescent="0.2">
      <c r="A124" s="182"/>
      <c r="B124" s="182"/>
      <c r="C124" s="182"/>
      <c r="D124" s="182"/>
      <c r="E124" s="182"/>
      <c r="F124" s="182"/>
      <c r="G124" s="182"/>
    </row>
    <row r="125" spans="1:7" x14ac:dyDescent="0.2">
      <c r="A125" s="182"/>
      <c r="B125" s="182"/>
      <c r="C125" s="182"/>
      <c r="D125" s="182"/>
      <c r="E125" s="182"/>
      <c r="F125" s="182"/>
      <c r="G125" s="182"/>
    </row>
    <row r="126" spans="1:7" x14ac:dyDescent="0.2">
      <c r="A126" s="182"/>
      <c r="B126" s="182"/>
      <c r="C126" s="182"/>
      <c r="D126" s="182"/>
      <c r="E126" s="182"/>
      <c r="F126" s="182"/>
      <c r="G126" s="182"/>
    </row>
    <row r="127" spans="1:7" x14ac:dyDescent="0.2">
      <c r="A127" s="182"/>
      <c r="B127" s="182"/>
      <c r="C127" s="182"/>
      <c r="D127" s="182"/>
      <c r="E127" s="182"/>
      <c r="F127" s="182"/>
      <c r="G127" s="182"/>
    </row>
    <row r="128" spans="1:7" x14ac:dyDescent="0.2">
      <c r="A128" s="182"/>
      <c r="B128" s="182"/>
      <c r="C128" s="182"/>
      <c r="D128" s="182"/>
      <c r="E128" s="182"/>
      <c r="F128" s="182"/>
      <c r="G128" s="182"/>
    </row>
    <row r="129" spans="1:7" x14ac:dyDescent="0.2">
      <c r="A129" s="182"/>
      <c r="B129" s="182"/>
      <c r="C129" s="182"/>
      <c r="D129" s="182"/>
      <c r="E129" s="182"/>
      <c r="F129" s="182"/>
      <c r="G129" s="182"/>
    </row>
    <row r="130" spans="1:7" x14ac:dyDescent="0.2">
      <c r="A130" s="182"/>
      <c r="B130" s="182"/>
      <c r="C130" s="182"/>
      <c r="D130" s="182"/>
      <c r="E130" s="182"/>
      <c r="F130" s="182"/>
      <c r="G130" s="182"/>
    </row>
    <row r="131" spans="1:7" x14ac:dyDescent="0.2">
      <c r="A131" s="182"/>
      <c r="B131" s="182"/>
      <c r="C131" s="182"/>
      <c r="D131" s="182"/>
      <c r="E131" s="182"/>
      <c r="F131" s="182"/>
      <c r="G131" s="182"/>
    </row>
    <row r="132" spans="1:7" x14ac:dyDescent="0.2">
      <c r="A132" s="182"/>
      <c r="B132" s="182"/>
      <c r="C132" s="182"/>
      <c r="D132" s="182"/>
      <c r="E132" s="182"/>
      <c r="F132" s="182"/>
      <c r="G132" s="182"/>
    </row>
    <row r="133" spans="1:7" x14ac:dyDescent="0.2">
      <c r="A133" s="182"/>
      <c r="B133" s="182"/>
      <c r="C133" s="182"/>
      <c r="D133" s="182"/>
      <c r="E133" s="182"/>
      <c r="F133" s="182"/>
      <c r="G133" s="182"/>
    </row>
    <row r="134" spans="1:7" x14ac:dyDescent="0.2">
      <c r="A134" s="182"/>
      <c r="B134" s="182"/>
      <c r="C134" s="182"/>
      <c r="D134" s="182"/>
      <c r="E134" s="182"/>
      <c r="F134" s="182"/>
      <c r="G134" s="182"/>
    </row>
    <row r="135" spans="1:7" x14ac:dyDescent="0.2">
      <c r="A135" s="182"/>
      <c r="B135" s="182"/>
      <c r="C135" s="182"/>
      <c r="D135" s="182"/>
      <c r="E135" s="182"/>
      <c r="F135" s="182"/>
      <c r="G135" s="182"/>
    </row>
    <row r="136" spans="1:7" x14ac:dyDescent="0.2">
      <c r="A136" s="182"/>
      <c r="B136" s="182"/>
      <c r="C136" s="182"/>
      <c r="D136" s="182"/>
      <c r="E136" s="182"/>
      <c r="F136" s="182"/>
      <c r="G136" s="182"/>
    </row>
    <row r="137" spans="1:7" x14ac:dyDescent="0.2">
      <c r="A137" s="182"/>
      <c r="B137" s="182"/>
      <c r="C137" s="182"/>
      <c r="D137" s="182"/>
      <c r="E137" s="182"/>
      <c r="F137" s="182"/>
      <c r="G137" s="182"/>
    </row>
    <row r="138" spans="1:7" x14ac:dyDescent="0.2">
      <c r="A138" s="182"/>
      <c r="B138" s="182"/>
      <c r="C138" s="182"/>
      <c r="D138" s="182"/>
      <c r="E138" s="182"/>
      <c r="F138" s="182"/>
      <c r="G138" s="182"/>
    </row>
    <row r="139" spans="1:7" x14ac:dyDescent="0.2">
      <c r="A139" s="182"/>
      <c r="B139" s="182"/>
      <c r="C139" s="182"/>
      <c r="D139" s="182"/>
      <c r="E139" s="182"/>
      <c r="F139" s="182"/>
      <c r="G139" s="182"/>
    </row>
    <row r="140" spans="1:7" x14ac:dyDescent="0.2">
      <c r="A140" s="182"/>
      <c r="B140" s="182"/>
      <c r="C140" s="182"/>
      <c r="D140" s="182"/>
      <c r="E140" s="182"/>
      <c r="F140" s="182"/>
      <c r="G140" s="182"/>
    </row>
    <row r="141" spans="1:7" x14ac:dyDescent="0.2">
      <c r="A141" s="182"/>
      <c r="B141" s="182"/>
      <c r="C141" s="182"/>
      <c r="D141" s="182"/>
      <c r="E141" s="182"/>
      <c r="F141" s="182"/>
      <c r="G141" s="182"/>
    </row>
    <row r="142" spans="1:7" x14ac:dyDescent="0.2">
      <c r="A142" s="182"/>
      <c r="B142" s="182"/>
      <c r="C142" s="182"/>
      <c r="D142" s="182"/>
      <c r="E142" s="182"/>
      <c r="F142" s="182"/>
      <c r="G142" s="182"/>
    </row>
    <row r="143" spans="1:7" x14ac:dyDescent="0.2">
      <c r="A143" s="182"/>
      <c r="B143" s="182"/>
      <c r="C143" s="182"/>
      <c r="D143" s="182"/>
      <c r="E143" s="182"/>
      <c r="F143" s="182"/>
      <c r="G143" s="182"/>
    </row>
    <row r="144" spans="1:7" x14ac:dyDescent="0.2">
      <c r="A144" s="182"/>
      <c r="B144" s="182"/>
      <c r="C144" s="182"/>
      <c r="D144" s="182"/>
      <c r="E144" s="182"/>
      <c r="F144" s="182"/>
      <c r="G144" s="182"/>
    </row>
    <row r="145" spans="1:7" x14ac:dyDescent="0.2">
      <c r="A145" s="182"/>
      <c r="B145" s="182"/>
      <c r="C145" s="182"/>
      <c r="D145" s="182"/>
      <c r="E145" s="182"/>
      <c r="F145" s="182"/>
      <c r="G145" s="182"/>
    </row>
    <row r="146" spans="1:7" x14ac:dyDescent="0.2">
      <c r="A146" s="182"/>
      <c r="B146" s="182"/>
      <c r="C146" s="182"/>
      <c r="D146" s="182"/>
      <c r="E146" s="182"/>
      <c r="F146" s="182"/>
      <c r="G146" s="182"/>
    </row>
    <row r="147" spans="1:7" x14ac:dyDescent="0.2">
      <c r="A147" s="182"/>
      <c r="B147" s="182"/>
      <c r="C147" s="182"/>
      <c r="D147" s="182"/>
      <c r="E147" s="182"/>
      <c r="F147" s="182"/>
      <c r="G147" s="182"/>
    </row>
    <row r="148" spans="1:7" x14ac:dyDescent="0.2">
      <c r="A148" s="182"/>
      <c r="B148" s="182"/>
      <c r="C148" s="182"/>
      <c r="D148" s="182"/>
      <c r="E148" s="182"/>
      <c r="F148" s="182"/>
      <c r="G148" s="182"/>
    </row>
    <row r="149" spans="1:7" x14ac:dyDescent="0.2">
      <c r="A149" s="182"/>
      <c r="B149" s="182"/>
      <c r="C149" s="182"/>
      <c r="D149" s="182"/>
      <c r="E149" s="182"/>
      <c r="F149" s="182"/>
      <c r="G149" s="182"/>
    </row>
    <row r="150" spans="1:7" x14ac:dyDescent="0.2">
      <c r="A150" s="182"/>
      <c r="B150" s="182"/>
      <c r="C150" s="182"/>
      <c r="D150" s="182"/>
      <c r="E150" s="182"/>
      <c r="F150" s="182"/>
      <c r="G150" s="182"/>
    </row>
    <row r="151" spans="1:7" x14ac:dyDescent="0.2">
      <c r="A151" s="182"/>
      <c r="B151" s="182"/>
      <c r="C151" s="182"/>
      <c r="D151" s="182"/>
      <c r="E151" s="182"/>
      <c r="F151" s="182"/>
      <c r="G151" s="182"/>
    </row>
    <row r="152" spans="1:7" x14ac:dyDescent="0.2">
      <c r="A152" s="182"/>
      <c r="B152" s="182"/>
      <c r="C152" s="182"/>
      <c r="D152" s="182"/>
      <c r="E152" s="182"/>
      <c r="F152" s="182"/>
      <c r="G152" s="182"/>
    </row>
    <row r="153" spans="1:7" x14ac:dyDescent="0.2">
      <c r="A153" s="182"/>
      <c r="B153" s="182"/>
      <c r="C153" s="182"/>
      <c r="D153" s="182"/>
      <c r="E153" s="182"/>
      <c r="F153" s="182"/>
      <c r="G153" s="182"/>
    </row>
    <row r="154" spans="1:7" x14ac:dyDescent="0.2">
      <c r="A154" s="182"/>
      <c r="B154" s="182"/>
      <c r="C154" s="182"/>
      <c r="D154" s="182"/>
      <c r="E154" s="182"/>
      <c r="F154" s="182"/>
      <c r="G154" s="182"/>
    </row>
    <row r="155" spans="1:7" x14ac:dyDescent="0.2">
      <c r="A155" s="182"/>
      <c r="B155" s="182"/>
      <c r="C155" s="182"/>
      <c r="D155" s="182"/>
      <c r="E155" s="182"/>
      <c r="F155" s="182"/>
      <c r="G155" s="182"/>
    </row>
    <row r="156" spans="1:7" x14ac:dyDescent="0.2">
      <c r="A156" s="182"/>
      <c r="B156" s="182"/>
      <c r="C156" s="182"/>
      <c r="D156" s="182"/>
      <c r="E156" s="182"/>
      <c r="F156" s="182"/>
      <c r="G156" s="182"/>
    </row>
    <row r="157" spans="1:7" x14ac:dyDescent="0.2">
      <c r="A157" s="182"/>
      <c r="B157" s="182"/>
      <c r="C157" s="182"/>
      <c r="D157" s="182"/>
      <c r="E157" s="182"/>
      <c r="F157" s="182"/>
      <c r="G157" s="182"/>
    </row>
    <row r="158" spans="1:7" x14ac:dyDescent="0.2">
      <c r="A158" s="182"/>
      <c r="B158" s="182"/>
      <c r="C158" s="182"/>
      <c r="D158" s="182"/>
      <c r="E158" s="182"/>
      <c r="F158" s="182"/>
      <c r="G158" s="182"/>
    </row>
    <row r="159" spans="1:7" x14ac:dyDescent="0.2">
      <c r="A159" s="182"/>
      <c r="B159" s="182"/>
      <c r="C159" s="182"/>
      <c r="D159" s="182"/>
      <c r="E159" s="182"/>
      <c r="F159" s="182"/>
      <c r="G159" s="182"/>
    </row>
    <row r="160" spans="1:7" x14ac:dyDescent="0.2">
      <c r="A160" s="182"/>
      <c r="B160" s="182"/>
      <c r="C160" s="182"/>
      <c r="D160" s="182"/>
      <c r="E160" s="182"/>
      <c r="F160" s="182"/>
      <c r="G160" s="182"/>
    </row>
    <row r="161" spans="1:7" x14ac:dyDescent="0.2">
      <c r="A161" s="182"/>
      <c r="B161" s="182"/>
      <c r="C161" s="182"/>
      <c r="D161" s="182"/>
      <c r="E161" s="182"/>
      <c r="F161" s="182"/>
      <c r="G161" s="182"/>
    </row>
    <row r="162" spans="1:7" x14ac:dyDescent="0.2">
      <c r="A162" s="182"/>
      <c r="B162" s="182"/>
      <c r="C162" s="182"/>
      <c r="D162" s="182"/>
      <c r="E162" s="182"/>
      <c r="F162" s="182"/>
      <c r="G162" s="182"/>
    </row>
    <row r="163" spans="1:7" x14ac:dyDescent="0.2">
      <c r="A163" s="182"/>
      <c r="B163" s="182"/>
      <c r="C163" s="182"/>
      <c r="D163" s="182"/>
      <c r="E163" s="182"/>
      <c r="F163" s="182"/>
      <c r="G163" s="182"/>
    </row>
    <row r="164" spans="1:7" x14ac:dyDescent="0.2">
      <c r="A164" s="182"/>
      <c r="B164" s="182"/>
      <c r="C164" s="182"/>
      <c r="D164" s="182"/>
      <c r="E164" s="182"/>
      <c r="F164" s="182"/>
      <c r="G164" s="182"/>
    </row>
    <row r="165" spans="1:7" x14ac:dyDescent="0.2">
      <c r="A165" s="182"/>
      <c r="B165" s="182"/>
      <c r="C165" s="182"/>
      <c r="D165" s="182"/>
      <c r="E165" s="182"/>
      <c r="F165" s="182"/>
      <c r="G165" s="182"/>
    </row>
    <row r="166" spans="1:7" x14ac:dyDescent="0.2">
      <c r="A166" s="182"/>
      <c r="B166" s="182"/>
      <c r="C166" s="182"/>
      <c r="D166" s="182"/>
      <c r="E166" s="182"/>
      <c r="F166" s="182"/>
      <c r="G166" s="182"/>
    </row>
    <row r="167" spans="1:7" x14ac:dyDescent="0.2">
      <c r="A167" s="182"/>
      <c r="B167" s="182"/>
      <c r="C167" s="182"/>
      <c r="D167" s="182"/>
      <c r="E167" s="182"/>
      <c r="F167" s="182"/>
      <c r="G167" s="182"/>
    </row>
    <row r="168" spans="1:7" x14ac:dyDescent="0.2">
      <c r="A168" s="182"/>
      <c r="B168" s="182"/>
      <c r="C168" s="182"/>
      <c r="D168" s="182"/>
      <c r="E168" s="182"/>
      <c r="F168" s="182"/>
      <c r="G168" s="182"/>
    </row>
    <row r="169" spans="1:7" x14ac:dyDescent="0.2">
      <c r="A169" s="182"/>
      <c r="B169" s="182"/>
      <c r="C169" s="182"/>
      <c r="D169" s="182"/>
      <c r="E169" s="182"/>
      <c r="F169" s="182"/>
      <c r="G169" s="182"/>
    </row>
    <row r="170" spans="1:7" x14ac:dyDescent="0.2">
      <c r="A170" s="182"/>
      <c r="B170" s="182"/>
      <c r="C170" s="182"/>
      <c r="D170" s="182"/>
      <c r="E170" s="182"/>
      <c r="F170" s="182"/>
      <c r="G170" s="182"/>
    </row>
    <row r="171" spans="1:7" x14ac:dyDescent="0.2">
      <c r="A171" s="182"/>
      <c r="B171" s="182"/>
      <c r="C171" s="182"/>
      <c r="D171" s="182"/>
      <c r="E171" s="182"/>
      <c r="F171" s="182"/>
      <c r="G171" s="182"/>
    </row>
    <row r="172" spans="1:7" x14ac:dyDescent="0.2">
      <c r="A172" s="182"/>
      <c r="B172" s="182"/>
      <c r="C172" s="182"/>
      <c r="D172" s="182"/>
      <c r="E172" s="182"/>
      <c r="F172" s="182"/>
      <c r="G172" s="182"/>
    </row>
    <row r="173" spans="1:7" x14ac:dyDescent="0.2">
      <c r="A173" s="182"/>
      <c r="B173" s="182"/>
      <c r="C173" s="182"/>
      <c r="D173" s="182"/>
      <c r="E173" s="182"/>
      <c r="F173" s="182"/>
      <c r="G173" s="182"/>
    </row>
    <row r="174" spans="1:7" x14ac:dyDescent="0.2">
      <c r="A174" s="182"/>
      <c r="B174" s="182"/>
      <c r="C174" s="182"/>
      <c r="D174" s="182"/>
      <c r="E174" s="182"/>
      <c r="F174" s="182"/>
      <c r="G174" s="182"/>
    </row>
    <row r="175" spans="1:7" x14ac:dyDescent="0.2">
      <c r="A175" s="182"/>
      <c r="B175" s="182"/>
      <c r="C175" s="182"/>
      <c r="D175" s="182"/>
      <c r="E175" s="182"/>
      <c r="F175" s="182"/>
      <c r="G175" s="182"/>
    </row>
    <row r="176" spans="1:7" x14ac:dyDescent="0.2">
      <c r="A176" s="182"/>
      <c r="B176" s="182"/>
      <c r="C176" s="182"/>
      <c r="D176" s="182"/>
      <c r="E176" s="182"/>
      <c r="F176" s="182"/>
      <c r="G176" s="182"/>
    </row>
    <row r="177" spans="1:7" x14ac:dyDescent="0.2">
      <c r="A177" s="182"/>
      <c r="B177" s="182"/>
      <c r="C177" s="182"/>
      <c r="D177" s="182"/>
      <c r="E177" s="182"/>
      <c r="F177" s="182"/>
      <c r="G177" s="182"/>
    </row>
    <row r="178" spans="1:7" x14ac:dyDescent="0.2">
      <c r="A178" s="182"/>
      <c r="B178" s="182"/>
      <c r="C178" s="182"/>
      <c r="D178" s="182"/>
      <c r="E178" s="182"/>
      <c r="F178" s="182"/>
      <c r="G178" s="182"/>
    </row>
    <row r="179" spans="1:7" x14ac:dyDescent="0.2">
      <c r="A179" s="182"/>
      <c r="B179" s="182"/>
      <c r="C179" s="182"/>
      <c r="D179" s="182"/>
      <c r="E179" s="182"/>
      <c r="F179" s="182"/>
      <c r="G179" s="182"/>
    </row>
    <row r="180" spans="1:7" x14ac:dyDescent="0.2">
      <c r="A180" s="182"/>
      <c r="B180" s="182"/>
      <c r="C180" s="182"/>
      <c r="D180" s="182"/>
      <c r="E180" s="182"/>
      <c r="F180" s="182"/>
      <c r="G180" s="182"/>
    </row>
    <row r="181" spans="1:7" x14ac:dyDescent="0.2">
      <c r="A181" s="182"/>
      <c r="B181" s="182"/>
      <c r="C181" s="182"/>
      <c r="D181" s="182"/>
      <c r="E181" s="182"/>
      <c r="F181" s="182"/>
      <c r="G181" s="182"/>
    </row>
    <row r="182" spans="1:7" x14ac:dyDescent="0.2">
      <c r="A182" s="182"/>
      <c r="B182" s="182"/>
      <c r="C182" s="182"/>
      <c r="D182" s="182"/>
      <c r="E182" s="182"/>
      <c r="F182" s="182"/>
      <c r="G182" s="182"/>
    </row>
    <row r="183" spans="1:7" x14ac:dyDescent="0.2">
      <c r="A183" s="182"/>
      <c r="B183" s="182"/>
      <c r="C183" s="182"/>
      <c r="D183" s="182"/>
      <c r="E183" s="182"/>
      <c r="F183" s="182"/>
      <c r="G183" s="182"/>
    </row>
    <row r="184" spans="1:7" x14ac:dyDescent="0.2">
      <c r="A184" s="182"/>
      <c r="B184" s="182"/>
      <c r="C184" s="182"/>
      <c r="D184" s="182"/>
      <c r="E184" s="182"/>
      <c r="F184" s="182"/>
      <c r="G184" s="182"/>
    </row>
    <row r="185" spans="1:7" x14ac:dyDescent="0.2">
      <c r="A185" s="182"/>
      <c r="B185" s="182"/>
      <c r="C185" s="182"/>
      <c r="D185" s="182"/>
      <c r="E185" s="182"/>
      <c r="F185" s="182"/>
      <c r="G185" s="182"/>
    </row>
    <row r="186" spans="1:7" x14ac:dyDescent="0.2">
      <c r="A186" s="182"/>
      <c r="B186" s="182"/>
      <c r="C186" s="182"/>
      <c r="D186" s="182"/>
      <c r="E186" s="182"/>
      <c r="F186" s="182"/>
      <c r="G186" s="182"/>
    </row>
    <row r="187" spans="1:7" x14ac:dyDescent="0.2">
      <c r="A187" s="182"/>
      <c r="B187" s="182"/>
      <c r="C187" s="182"/>
      <c r="D187" s="182"/>
      <c r="E187" s="182"/>
      <c r="F187" s="182"/>
      <c r="G187" s="182"/>
    </row>
    <row r="188" spans="1:7" x14ac:dyDescent="0.2">
      <c r="A188" s="182"/>
      <c r="B188" s="182"/>
      <c r="C188" s="182"/>
      <c r="D188" s="182"/>
      <c r="E188" s="182"/>
      <c r="F188" s="182"/>
      <c r="G188" s="182"/>
    </row>
    <row r="189" spans="1:7" x14ac:dyDescent="0.2">
      <c r="A189" s="182"/>
      <c r="B189" s="182"/>
      <c r="C189" s="182"/>
      <c r="D189" s="182"/>
      <c r="E189" s="182"/>
      <c r="F189" s="182"/>
      <c r="G189" s="182"/>
    </row>
    <row r="190" spans="1:7" x14ac:dyDescent="0.2">
      <c r="A190" s="182"/>
      <c r="B190" s="182"/>
      <c r="C190" s="182"/>
      <c r="D190" s="182"/>
      <c r="E190" s="182"/>
      <c r="F190" s="182"/>
      <c r="G190" s="182"/>
    </row>
    <row r="191" spans="1:7" x14ac:dyDescent="0.2">
      <c r="A191" s="182"/>
      <c r="B191" s="182"/>
      <c r="C191" s="182"/>
      <c r="D191" s="182"/>
      <c r="E191" s="182"/>
      <c r="F191" s="182"/>
      <c r="G191" s="182"/>
    </row>
    <row r="192" spans="1:7" x14ac:dyDescent="0.2">
      <c r="A192" s="182"/>
      <c r="B192" s="182"/>
      <c r="C192" s="182"/>
      <c r="D192" s="182"/>
      <c r="E192" s="182"/>
      <c r="F192" s="182"/>
      <c r="G192" s="182"/>
    </row>
    <row r="193" spans="1:7" x14ac:dyDescent="0.2">
      <c r="A193" s="182"/>
      <c r="B193" s="182"/>
      <c r="C193" s="182"/>
      <c r="D193" s="182"/>
      <c r="E193" s="182"/>
      <c r="F193" s="182"/>
      <c r="G193" s="182"/>
    </row>
    <row r="194" spans="1:7" x14ac:dyDescent="0.2">
      <c r="A194" s="182"/>
      <c r="B194" s="182"/>
      <c r="C194" s="182"/>
      <c r="D194" s="182"/>
      <c r="E194" s="182"/>
      <c r="F194" s="182"/>
      <c r="G194" s="182"/>
    </row>
    <row r="195" spans="1:7" x14ac:dyDescent="0.2">
      <c r="A195" s="182"/>
      <c r="B195" s="182"/>
      <c r="C195" s="182"/>
      <c r="D195" s="182"/>
      <c r="E195" s="182"/>
      <c r="F195" s="182"/>
      <c r="G195" s="182"/>
    </row>
    <row r="196" spans="1:7" x14ac:dyDescent="0.2">
      <c r="A196" s="182"/>
      <c r="B196" s="182"/>
      <c r="C196" s="182"/>
      <c r="D196" s="182"/>
      <c r="E196" s="182"/>
      <c r="F196" s="182"/>
      <c r="G196" s="182"/>
    </row>
    <row r="197" spans="1:7" x14ac:dyDescent="0.2">
      <c r="A197" s="182"/>
      <c r="B197" s="182"/>
      <c r="C197" s="182"/>
      <c r="D197" s="182"/>
      <c r="E197" s="182"/>
      <c r="F197" s="182"/>
      <c r="G197" s="182"/>
    </row>
    <row r="198" spans="1:7" x14ac:dyDescent="0.2">
      <c r="A198" s="182"/>
      <c r="B198" s="182"/>
      <c r="C198" s="182"/>
      <c r="D198" s="182"/>
      <c r="E198" s="182"/>
      <c r="F198" s="182"/>
      <c r="G198" s="182"/>
    </row>
    <row r="199" spans="1:7" x14ac:dyDescent="0.2">
      <c r="A199" s="182"/>
      <c r="B199" s="182"/>
      <c r="C199" s="182"/>
      <c r="D199" s="182"/>
      <c r="E199" s="182"/>
      <c r="F199" s="182"/>
      <c r="G199" s="182"/>
    </row>
    <row r="200" spans="1:7" x14ac:dyDescent="0.2">
      <c r="A200" s="182"/>
      <c r="B200" s="182"/>
      <c r="C200" s="182"/>
      <c r="D200" s="182"/>
      <c r="E200" s="182"/>
      <c r="F200" s="182"/>
      <c r="G200" s="182"/>
    </row>
    <row r="201" spans="1:7" x14ac:dyDescent="0.2">
      <c r="A201" s="182"/>
      <c r="B201" s="182"/>
      <c r="C201" s="182"/>
      <c r="D201" s="182"/>
      <c r="E201" s="182"/>
      <c r="F201" s="182"/>
      <c r="G201" s="182"/>
    </row>
    <row r="202" spans="1:7" x14ac:dyDescent="0.2">
      <c r="A202" s="182"/>
      <c r="B202" s="182"/>
      <c r="C202" s="182"/>
      <c r="D202" s="182"/>
      <c r="E202" s="182"/>
      <c r="F202" s="182"/>
      <c r="G202" s="182"/>
    </row>
    <row r="203" spans="1:7" x14ac:dyDescent="0.2">
      <c r="A203" s="182"/>
      <c r="B203" s="182"/>
      <c r="C203" s="182"/>
      <c r="D203" s="182"/>
      <c r="E203" s="182"/>
      <c r="F203" s="182"/>
      <c r="G203" s="182"/>
    </row>
    <row r="204" spans="1:7" x14ac:dyDescent="0.2">
      <c r="A204" s="182"/>
      <c r="B204" s="182"/>
      <c r="C204" s="182"/>
      <c r="D204" s="182"/>
      <c r="E204" s="182"/>
      <c r="F204" s="182"/>
      <c r="G204" s="182"/>
    </row>
    <row r="205" spans="1:7" x14ac:dyDescent="0.2">
      <c r="A205" s="182"/>
      <c r="B205" s="182"/>
      <c r="C205" s="182"/>
      <c r="D205" s="182"/>
      <c r="E205" s="182"/>
      <c r="F205" s="182"/>
      <c r="G205" s="182"/>
    </row>
    <row r="206" spans="1:7" x14ac:dyDescent="0.2">
      <c r="A206" s="182"/>
      <c r="B206" s="182"/>
      <c r="C206" s="182"/>
      <c r="D206" s="182"/>
      <c r="E206" s="182"/>
      <c r="F206" s="182"/>
      <c r="G206" s="182"/>
    </row>
    <row r="207" spans="1:7" x14ac:dyDescent="0.2">
      <c r="A207" s="182"/>
      <c r="B207" s="182"/>
      <c r="C207" s="182"/>
      <c r="D207" s="182"/>
      <c r="E207" s="182"/>
      <c r="F207" s="182"/>
      <c r="G207" s="182"/>
    </row>
    <row r="208" spans="1:7" x14ac:dyDescent="0.2">
      <c r="A208" s="182"/>
      <c r="B208" s="182"/>
      <c r="C208" s="182"/>
      <c r="D208" s="182"/>
      <c r="E208" s="182"/>
      <c r="F208" s="182"/>
      <c r="G208" s="182"/>
    </row>
    <row r="209" spans="1:7" x14ac:dyDescent="0.2">
      <c r="A209" s="182"/>
      <c r="B209" s="182"/>
      <c r="C209" s="182"/>
      <c r="D209" s="182"/>
      <c r="E209" s="182"/>
      <c r="F209" s="182"/>
      <c r="G209" s="182"/>
    </row>
    <row r="210" spans="1:7" x14ac:dyDescent="0.2">
      <c r="A210" s="182"/>
      <c r="B210" s="182"/>
      <c r="C210" s="182"/>
      <c r="D210" s="182"/>
      <c r="E210" s="182"/>
      <c r="F210" s="182"/>
      <c r="G210" s="182"/>
    </row>
    <row r="211" spans="1:7" x14ac:dyDescent="0.2">
      <c r="A211" s="182"/>
      <c r="B211" s="182"/>
      <c r="C211" s="182"/>
      <c r="D211" s="182"/>
      <c r="E211" s="182"/>
      <c r="F211" s="182"/>
      <c r="G211" s="182"/>
    </row>
    <row r="212" spans="1:7" x14ac:dyDescent="0.2">
      <c r="A212" s="182"/>
      <c r="B212" s="182"/>
      <c r="C212" s="182"/>
      <c r="D212" s="182"/>
      <c r="E212" s="182"/>
      <c r="F212" s="182"/>
      <c r="G212" s="182"/>
    </row>
    <row r="213" spans="1:7" x14ac:dyDescent="0.2">
      <c r="A213" s="182"/>
      <c r="B213" s="182"/>
      <c r="C213" s="182"/>
      <c r="D213" s="182"/>
      <c r="E213" s="182"/>
      <c r="F213" s="182"/>
      <c r="G213" s="182"/>
    </row>
    <row r="214" spans="1:7" x14ac:dyDescent="0.2">
      <c r="A214" s="182"/>
      <c r="B214" s="182"/>
      <c r="C214" s="182"/>
      <c r="D214" s="182"/>
      <c r="E214" s="182"/>
      <c r="F214" s="182"/>
      <c r="G214" s="182"/>
    </row>
    <row r="215" spans="1:7" x14ac:dyDescent="0.2">
      <c r="A215" s="182"/>
      <c r="B215" s="182"/>
      <c r="C215" s="182"/>
      <c r="D215" s="182"/>
      <c r="E215" s="182"/>
      <c r="F215" s="182"/>
      <c r="G215" s="182"/>
    </row>
    <row r="216" spans="1:7" x14ac:dyDescent="0.2">
      <c r="A216" s="182"/>
      <c r="B216" s="182"/>
      <c r="C216" s="182"/>
      <c r="D216" s="182"/>
      <c r="E216" s="182"/>
      <c r="F216" s="182"/>
      <c r="G216" s="182"/>
    </row>
    <row r="217" spans="1:7" x14ac:dyDescent="0.2">
      <c r="A217" s="182"/>
      <c r="B217" s="182"/>
      <c r="C217" s="182"/>
      <c r="D217" s="182"/>
      <c r="E217" s="182"/>
      <c r="F217" s="182"/>
      <c r="G217" s="182"/>
    </row>
    <row r="218" spans="1:7" x14ac:dyDescent="0.2">
      <c r="A218" s="182"/>
      <c r="B218" s="182"/>
      <c r="C218" s="182"/>
      <c r="D218" s="182"/>
      <c r="E218" s="182"/>
      <c r="F218" s="182"/>
      <c r="G218" s="182"/>
    </row>
    <row r="219" spans="1:7" x14ac:dyDescent="0.2">
      <c r="A219" s="182"/>
      <c r="B219" s="182"/>
      <c r="C219" s="182"/>
      <c r="D219" s="182"/>
      <c r="E219" s="182"/>
      <c r="F219" s="182"/>
      <c r="G219" s="182"/>
    </row>
    <row r="220" spans="1:7" x14ac:dyDescent="0.2">
      <c r="A220" s="182"/>
      <c r="B220" s="182"/>
      <c r="C220" s="182"/>
      <c r="D220" s="182"/>
      <c r="E220" s="182"/>
      <c r="F220" s="182"/>
      <c r="G220" s="182"/>
    </row>
    <row r="221" spans="1:7" x14ac:dyDescent="0.2">
      <c r="A221" s="182"/>
      <c r="B221" s="182"/>
      <c r="C221" s="182"/>
      <c r="D221" s="182"/>
      <c r="E221" s="182"/>
      <c r="F221" s="182"/>
      <c r="G221" s="182"/>
    </row>
    <row r="222" spans="1:7" x14ac:dyDescent="0.2">
      <c r="A222" s="182"/>
      <c r="B222" s="182"/>
      <c r="C222" s="182"/>
      <c r="D222" s="182"/>
      <c r="E222" s="182"/>
      <c r="F222" s="182"/>
      <c r="G222" s="182"/>
    </row>
    <row r="223" spans="1:7" x14ac:dyDescent="0.2">
      <c r="A223" s="182"/>
      <c r="B223" s="182"/>
      <c r="C223" s="182"/>
      <c r="D223" s="182"/>
      <c r="E223" s="182"/>
      <c r="F223" s="182"/>
      <c r="G223" s="182"/>
    </row>
    <row r="224" spans="1:7" x14ac:dyDescent="0.2">
      <c r="A224" s="182"/>
      <c r="B224" s="182"/>
      <c r="C224" s="182"/>
      <c r="D224" s="182"/>
      <c r="E224" s="182"/>
      <c r="F224" s="182"/>
      <c r="G224" s="182"/>
    </row>
    <row r="225" spans="1:7" x14ac:dyDescent="0.2">
      <c r="A225" s="182"/>
      <c r="B225" s="182"/>
      <c r="C225" s="182"/>
      <c r="D225" s="182"/>
      <c r="E225" s="182"/>
      <c r="F225" s="182"/>
      <c r="G225" s="182"/>
    </row>
    <row r="226" spans="1:7" x14ac:dyDescent="0.2">
      <c r="A226" s="182"/>
      <c r="B226" s="182"/>
      <c r="C226" s="182"/>
      <c r="D226" s="182"/>
      <c r="E226" s="182"/>
      <c r="F226" s="182"/>
      <c r="G226" s="182"/>
    </row>
    <row r="227" spans="1:7" x14ac:dyDescent="0.2">
      <c r="A227" s="182"/>
      <c r="B227" s="182"/>
      <c r="C227" s="182"/>
      <c r="D227" s="182"/>
      <c r="E227" s="182"/>
      <c r="F227" s="182"/>
      <c r="G227" s="182"/>
    </row>
    <row r="228" spans="1:7" x14ac:dyDescent="0.2">
      <c r="A228" s="182"/>
      <c r="B228" s="182"/>
      <c r="C228" s="182"/>
      <c r="D228" s="182"/>
      <c r="E228" s="182"/>
      <c r="F228" s="182"/>
      <c r="G228" s="182"/>
    </row>
    <row r="229" spans="1:7" x14ac:dyDescent="0.2">
      <c r="A229" s="182"/>
      <c r="B229" s="182"/>
      <c r="C229" s="182"/>
      <c r="D229" s="182"/>
      <c r="E229" s="182"/>
      <c r="F229" s="182"/>
      <c r="G229" s="182"/>
    </row>
    <row r="230" spans="1:7" x14ac:dyDescent="0.2">
      <c r="A230" s="182"/>
      <c r="B230" s="182"/>
      <c r="C230" s="182"/>
      <c r="D230" s="182"/>
      <c r="E230" s="182"/>
      <c r="F230" s="182"/>
      <c r="G230" s="182"/>
    </row>
    <row r="231" spans="1:7" x14ac:dyDescent="0.2">
      <c r="A231" s="182"/>
      <c r="B231" s="182"/>
      <c r="C231" s="182"/>
      <c r="D231" s="182"/>
      <c r="E231" s="182"/>
      <c r="F231" s="182"/>
      <c r="G231" s="182"/>
    </row>
    <row r="232" spans="1:7" x14ac:dyDescent="0.2">
      <c r="A232" s="182"/>
      <c r="B232" s="182"/>
      <c r="C232" s="182"/>
      <c r="D232" s="182"/>
      <c r="E232" s="182"/>
      <c r="F232" s="182"/>
      <c r="G232" s="182"/>
    </row>
    <row r="233" spans="1:7" x14ac:dyDescent="0.2">
      <c r="A233" s="182"/>
      <c r="B233" s="182"/>
      <c r="C233" s="182"/>
      <c r="D233" s="182"/>
      <c r="E233" s="182"/>
      <c r="F233" s="182"/>
      <c r="G233" s="182"/>
    </row>
    <row r="234" spans="1:7" x14ac:dyDescent="0.2">
      <c r="A234" s="182"/>
      <c r="B234" s="182"/>
      <c r="C234" s="182"/>
      <c r="D234" s="182"/>
      <c r="E234" s="182"/>
      <c r="F234" s="182"/>
      <c r="G234" s="182"/>
    </row>
    <row r="235" spans="1:7" x14ac:dyDescent="0.2">
      <c r="A235" s="182"/>
      <c r="B235" s="182"/>
      <c r="C235" s="182"/>
      <c r="D235" s="182"/>
      <c r="E235" s="182"/>
      <c r="F235" s="182"/>
      <c r="G235" s="182"/>
    </row>
    <row r="236" spans="1:7" x14ac:dyDescent="0.2">
      <c r="A236" s="182"/>
      <c r="B236" s="182"/>
      <c r="C236" s="182"/>
      <c r="D236" s="182"/>
      <c r="E236" s="182"/>
      <c r="F236" s="182"/>
      <c r="G236" s="182"/>
    </row>
    <row r="237" spans="1:7" x14ac:dyDescent="0.2">
      <c r="A237" s="182"/>
      <c r="B237" s="182"/>
      <c r="C237" s="182"/>
      <c r="D237" s="182"/>
      <c r="E237" s="182"/>
      <c r="F237" s="182"/>
      <c r="G237" s="182"/>
    </row>
    <row r="238" spans="1:7" x14ac:dyDescent="0.2">
      <c r="A238" s="182"/>
      <c r="B238" s="182"/>
      <c r="C238" s="182"/>
      <c r="D238" s="182"/>
      <c r="E238" s="182"/>
      <c r="F238" s="182"/>
      <c r="G238" s="182"/>
    </row>
    <row r="239" spans="1:7" x14ac:dyDescent="0.2">
      <c r="A239" s="182"/>
      <c r="B239" s="182"/>
      <c r="C239" s="182"/>
      <c r="D239" s="182"/>
      <c r="E239" s="182"/>
      <c r="F239" s="182"/>
      <c r="G239" s="182"/>
    </row>
    <row r="240" spans="1:7" x14ac:dyDescent="0.2">
      <c r="A240" s="182"/>
      <c r="B240" s="182"/>
      <c r="C240" s="182"/>
      <c r="D240" s="182"/>
      <c r="E240" s="182"/>
      <c r="F240" s="182"/>
      <c r="G240" s="182"/>
    </row>
    <row r="241" spans="1:7" x14ac:dyDescent="0.2">
      <c r="A241" s="182"/>
      <c r="B241" s="182"/>
      <c r="C241" s="182"/>
      <c r="D241" s="182"/>
      <c r="E241" s="182"/>
      <c r="F241" s="182"/>
      <c r="G241" s="182"/>
    </row>
    <row r="242" spans="1:7" x14ac:dyDescent="0.2">
      <c r="A242" s="182"/>
      <c r="B242" s="182"/>
      <c r="C242" s="182"/>
      <c r="D242" s="182"/>
      <c r="E242" s="182"/>
      <c r="F242" s="182"/>
      <c r="G242" s="182"/>
    </row>
    <row r="243" spans="1:7" x14ac:dyDescent="0.2">
      <c r="A243" s="182"/>
      <c r="B243" s="182"/>
      <c r="C243" s="182"/>
      <c r="D243" s="182"/>
      <c r="E243" s="182"/>
      <c r="F243" s="182"/>
      <c r="G243" s="182"/>
    </row>
    <row r="244" spans="1:7" x14ac:dyDescent="0.2">
      <c r="A244" s="182"/>
      <c r="B244" s="182"/>
      <c r="C244" s="182"/>
      <c r="D244" s="182"/>
      <c r="E244" s="182"/>
      <c r="F244" s="182"/>
      <c r="G244" s="182"/>
    </row>
    <row r="245" spans="1:7" x14ac:dyDescent="0.2">
      <c r="A245" s="182"/>
      <c r="B245" s="182"/>
      <c r="C245" s="182"/>
      <c r="D245" s="182"/>
      <c r="E245" s="182"/>
      <c r="F245" s="182"/>
      <c r="G245" s="182"/>
    </row>
    <row r="246" spans="1:7" x14ac:dyDescent="0.2">
      <c r="A246" s="182"/>
      <c r="B246" s="182"/>
      <c r="C246" s="182"/>
      <c r="D246" s="182"/>
      <c r="E246" s="182"/>
      <c r="F246" s="182"/>
      <c r="G246" s="182"/>
    </row>
    <row r="247" spans="1:7" x14ac:dyDescent="0.2">
      <c r="A247" s="182"/>
      <c r="B247" s="182"/>
      <c r="C247" s="182"/>
      <c r="D247" s="182"/>
      <c r="E247" s="182"/>
      <c r="F247" s="182"/>
      <c r="G247" s="182"/>
    </row>
    <row r="248" spans="1:7" x14ac:dyDescent="0.2">
      <c r="A248" s="182"/>
      <c r="B248" s="182"/>
      <c r="C248" s="182"/>
      <c r="D248" s="182"/>
      <c r="E248" s="182"/>
      <c r="F248" s="182"/>
      <c r="G248" s="182"/>
    </row>
    <row r="249" spans="1:7" x14ac:dyDescent="0.2">
      <c r="A249" s="182"/>
      <c r="B249" s="182"/>
      <c r="C249" s="182"/>
      <c r="D249" s="182"/>
      <c r="E249" s="182"/>
      <c r="F249" s="182"/>
      <c r="G249" s="182"/>
    </row>
    <row r="250" spans="1:7" x14ac:dyDescent="0.2">
      <c r="A250" s="182"/>
      <c r="B250" s="182"/>
      <c r="C250" s="182"/>
      <c r="D250" s="182"/>
      <c r="E250" s="182"/>
      <c r="F250" s="182"/>
      <c r="G250" s="182"/>
    </row>
    <row r="251" spans="1:7" x14ac:dyDescent="0.2">
      <c r="A251" s="182"/>
      <c r="B251" s="182"/>
      <c r="C251" s="182"/>
      <c r="D251" s="182"/>
      <c r="E251" s="182"/>
      <c r="F251" s="182"/>
      <c r="G251" s="182"/>
    </row>
    <row r="252" spans="1:7" x14ac:dyDescent="0.2">
      <c r="A252" s="182"/>
      <c r="B252" s="182"/>
      <c r="C252" s="182"/>
      <c r="D252" s="182"/>
      <c r="E252" s="182"/>
      <c r="F252" s="182"/>
      <c r="G252" s="182"/>
    </row>
    <row r="253" spans="1:7" x14ac:dyDescent="0.2">
      <c r="A253" s="182"/>
      <c r="B253" s="182"/>
      <c r="C253" s="182"/>
      <c r="D253" s="182"/>
      <c r="E253" s="182"/>
      <c r="F253" s="182"/>
      <c r="G253" s="182"/>
    </row>
    <row r="254" spans="1:7" x14ac:dyDescent="0.2">
      <c r="A254" s="182"/>
      <c r="B254" s="182"/>
      <c r="C254" s="182"/>
      <c r="D254" s="182"/>
      <c r="E254" s="182"/>
      <c r="F254" s="182"/>
      <c r="G254" s="182"/>
    </row>
    <row r="255" spans="1:7" x14ac:dyDescent="0.2">
      <c r="A255" s="182"/>
      <c r="B255" s="182"/>
      <c r="C255" s="182"/>
      <c r="D255" s="182"/>
      <c r="E255" s="182"/>
      <c r="F255" s="182"/>
      <c r="G255" s="182"/>
    </row>
    <row r="256" spans="1:7" x14ac:dyDescent="0.2">
      <c r="A256" s="182"/>
      <c r="B256" s="182"/>
      <c r="C256" s="182"/>
      <c r="D256" s="182"/>
      <c r="E256" s="182"/>
      <c r="F256" s="182"/>
      <c r="G256" s="182"/>
    </row>
    <row r="257" spans="1:7" x14ac:dyDescent="0.2">
      <c r="A257" s="182"/>
      <c r="B257" s="182"/>
      <c r="C257" s="182"/>
      <c r="D257" s="182"/>
      <c r="E257" s="182"/>
      <c r="F257" s="182"/>
      <c r="G257" s="182"/>
    </row>
    <row r="258" spans="1:7" x14ac:dyDescent="0.2">
      <c r="A258" s="182"/>
      <c r="B258" s="182"/>
      <c r="C258" s="182"/>
      <c r="D258" s="182"/>
      <c r="E258" s="182"/>
      <c r="F258" s="182"/>
      <c r="G258" s="182"/>
    </row>
    <row r="259" spans="1:7" x14ac:dyDescent="0.2">
      <c r="A259" s="182"/>
      <c r="B259" s="182"/>
      <c r="C259" s="182"/>
      <c r="D259" s="182"/>
      <c r="E259" s="182"/>
      <c r="F259" s="182"/>
      <c r="G259" s="182"/>
    </row>
    <row r="260" spans="1:7" x14ac:dyDescent="0.2">
      <c r="A260" s="182"/>
      <c r="B260" s="182"/>
      <c r="C260" s="182"/>
      <c r="D260" s="182"/>
      <c r="E260" s="182"/>
      <c r="F260" s="182"/>
      <c r="G260" s="182"/>
    </row>
    <row r="261" spans="1:7" x14ac:dyDescent="0.2">
      <c r="A261" s="182"/>
      <c r="B261" s="182"/>
      <c r="C261" s="182"/>
      <c r="D261" s="182"/>
      <c r="E261" s="182"/>
      <c r="F261" s="182"/>
      <c r="G261" s="182"/>
    </row>
    <row r="262" spans="1:7" x14ac:dyDescent="0.2">
      <c r="A262" s="182"/>
      <c r="B262" s="182"/>
      <c r="C262" s="182"/>
      <c r="D262" s="182"/>
      <c r="E262" s="182"/>
      <c r="F262" s="182"/>
      <c r="G262" s="182"/>
    </row>
    <row r="263" spans="1:7" x14ac:dyDescent="0.2">
      <c r="A263" s="182"/>
      <c r="B263" s="182"/>
      <c r="C263" s="182"/>
      <c r="D263" s="182"/>
      <c r="E263" s="182"/>
      <c r="F263" s="182"/>
      <c r="G263" s="182"/>
    </row>
    <row r="264" spans="1:7" x14ac:dyDescent="0.2">
      <c r="A264" s="182"/>
      <c r="B264" s="182"/>
      <c r="C264" s="182"/>
      <c r="D264" s="182"/>
      <c r="E264" s="182"/>
      <c r="F264" s="182"/>
      <c r="G264" s="182"/>
    </row>
    <row r="265" spans="1:7" x14ac:dyDescent="0.2">
      <c r="A265" s="182"/>
      <c r="B265" s="182"/>
      <c r="C265" s="182"/>
      <c r="D265" s="182"/>
      <c r="E265" s="182"/>
      <c r="F265" s="182"/>
      <c r="G265" s="182"/>
    </row>
    <row r="266" spans="1:7" x14ac:dyDescent="0.2">
      <c r="A266" s="182"/>
      <c r="B266" s="182"/>
      <c r="C266" s="182"/>
      <c r="D266" s="182"/>
      <c r="E266" s="182"/>
      <c r="F266" s="182"/>
      <c r="G266" s="182"/>
    </row>
    <row r="267" spans="1:7" x14ac:dyDescent="0.2">
      <c r="A267" s="182"/>
      <c r="B267" s="182"/>
      <c r="C267" s="182"/>
      <c r="D267" s="182"/>
      <c r="E267" s="182"/>
      <c r="F267" s="182"/>
      <c r="G267" s="182"/>
    </row>
    <row r="268" spans="1:7" x14ac:dyDescent="0.2">
      <c r="A268" s="182"/>
      <c r="B268" s="182"/>
      <c r="C268" s="182"/>
      <c r="D268" s="182"/>
      <c r="E268" s="182"/>
      <c r="F268" s="182"/>
      <c r="G268" s="182"/>
    </row>
    <row r="269" spans="1:7" x14ac:dyDescent="0.2">
      <c r="A269" s="182"/>
      <c r="B269" s="182"/>
      <c r="C269" s="182"/>
      <c r="D269" s="182"/>
      <c r="E269" s="182"/>
      <c r="F269" s="182"/>
      <c r="G269" s="182"/>
    </row>
    <row r="270" spans="1:7" x14ac:dyDescent="0.2">
      <c r="A270" s="182"/>
      <c r="B270" s="182"/>
      <c r="C270" s="182"/>
      <c r="D270" s="182"/>
      <c r="E270" s="182"/>
      <c r="F270" s="182"/>
      <c r="G270" s="182"/>
    </row>
    <row r="271" spans="1:7" x14ac:dyDescent="0.2">
      <c r="A271" s="182"/>
      <c r="B271" s="182"/>
      <c r="C271" s="182"/>
      <c r="D271" s="182"/>
      <c r="E271" s="182"/>
      <c r="F271" s="182"/>
      <c r="G271" s="182"/>
    </row>
    <row r="272" spans="1:7" x14ac:dyDescent="0.2">
      <c r="A272" s="182"/>
      <c r="B272" s="182"/>
      <c r="C272" s="182"/>
      <c r="D272" s="182"/>
      <c r="E272" s="182"/>
      <c r="F272" s="182"/>
      <c r="G272" s="182"/>
    </row>
    <row r="273" spans="1:7" x14ac:dyDescent="0.2">
      <c r="A273" s="182"/>
      <c r="B273" s="182"/>
      <c r="C273" s="182"/>
      <c r="D273" s="182"/>
      <c r="E273" s="182"/>
      <c r="F273" s="182"/>
      <c r="G273" s="182"/>
    </row>
    <row r="274" spans="1:7" x14ac:dyDescent="0.2">
      <c r="A274" s="182"/>
      <c r="B274" s="182"/>
      <c r="C274" s="182"/>
      <c r="D274" s="182"/>
      <c r="E274" s="182"/>
      <c r="F274" s="182"/>
      <c r="G274" s="182"/>
    </row>
    <row r="275" spans="1:7" x14ac:dyDescent="0.2">
      <c r="A275" s="182"/>
      <c r="B275" s="182"/>
      <c r="C275" s="182"/>
      <c r="D275" s="182"/>
      <c r="E275" s="182"/>
      <c r="F275" s="182"/>
      <c r="G275" s="182"/>
    </row>
    <row r="276" spans="1:7" x14ac:dyDescent="0.2">
      <c r="A276" s="182"/>
      <c r="B276" s="182"/>
      <c r="C276" s="182"/>
      <c r="D276" s="182"/>
      <c r="E276" s="182"/>
      <c r="F276" s="182"/>
      <c r="G276" s="182"/>
    </row>
    <row r="277" spans="1:7" x14ac:dyDescent="0.2">
      <c r="A277" s="182"/>
      <c r="B277" s="182"/>
      <c r="C277" s="182"/>
      <c r="D277" s="182"/>
      <c r="E277" s="182"/>
      <c r="F277" s="182"/>
      <c r="G277" s="182"/>
    </row>
    <row r="278" spans="1:7" x14ac:dyDescent="0.2">
      <c r="A278" s="182"/>
      <c r="B278" s="182"/>
      <c r="C278" s="182"/>
      <c r="D278" s="182"/>
      <c r="E278" s="182"/>
      <c r="F278" s="182"/>
      <c r="G278" s="182"/>
    </row>
    <row r="279" spans="1:7" x14ac:dyDescent="0.2">
      <c r="A279" s="182"/>
      <c r="B279" s="182"/>
      <c r="C279" s="182"/>
      <c r="D279" s="182"/>
      <c r="E279" s="182"/>
      <c r="F279" s="182"/>
      <c r="G279" s="182"/>
    </row>
    <row r="280" spans="1:7" x14ac:dyDescent="0.2">
      <c r="A280" s="182"/>
      <c r="B280" s="182"/>
      <c r="C280" s="182"/>
      <c r="D280" s="182"/>
      <c r="E280" s="182"/>
      <c r="F280" s="182"/>
      <c r="G280" s="182"/>
    </row>
    <row r="281" spans="1:7" x14ac:dyDescent="0.2">
      <c r="A281" s="182"/>
      <c r="B281" s="182"/>
      <c r="C281" s="182"/>
      <c r="D281" s="182"/>
      <c r="E281" s="182"/>
      <c r="F281" s="182"/>
      <c r="G281" s="182"/>
    </row>
    <row r="282" spans="1:7" x14ac:dyDescent="0.2">
      <c r="A282" s="182"/>
      <c r="B282" s="182"/>
      <c r="C282" s="182"/>
      <c r="D282" s="182"/>
      <c r="E282" s="182"/>
      <c r="F282" s="182"/>
      <c r="G282" s="182"/>
    </row>
    <row r="283" spans="1:7" x14ac:dyDescent="0.2">
      <c r="A283" s="182"/>
      <c r="B283" s="182"/>
      <c r="C283" s="182"/>
      <c r="D283" s="182"/>
      <c r="E283" s="182"/>
      <c r="F283" s="182"/>
      <c r="G283" s="182"/>
    </row>
    <row r="284" spans="1:7" x14ac:dyDescent="0.2">
      <c r="A284" s="182"/>
      <c r="B284" s="182"/>
      <c r="C284" s="182"/>
      <c r="D284" s="182"/>
      <c r="E284" s="182"/>
      <c r="F284" s="182"/>
      <c r="G284" s="182"/>
    </row>
    <row r="285" spans="1:7" x14ac:dyDescent="0.2">
      <c r="A285" s="182"/>
      <c r="B285" s="182"/>
      <c r="C285" s="182"/>
      <c r="D285" s="182"/>
      <c r="E285" s="182"/>
      <c r="F285" s="182"/>
      <c r="G285" s="182"/>
    </row>
    <row r="286" spans="1:7" x14ac:dyDescent="0.2">
      <c r="A286" s="182"/>
      <c r="B286" s="182"/>
      <c r="C286" s="182"/>
      <c r="D286" s="182"/>
      <c r="E286" s="182"/>
      <c r="F286" s="182"/>
      <c r="G286" s="182"/>
    </row>
    <row r="287" spans="1:7" x14ac:dyDescent="0.2">
      <c r="A287" s="182"/>
      <c r="B287" s="182"/>
      <c r="C287" s="182"/>
      <c r="D287" s="182"/>
      <c r="E287" s="182"/>
      <c r="F287" s="182"/>
      <c r="G287" s="182"/>
    </row>
    <row r="288" spans="1:7" x14ac:dyDescent="0.2">
      <c r="A288" s="182"/>
      <c r="B288" s="182"/>
      <c r="C288" s="182"/>
      <c r="D288" s="182"/>
      <c r="E288" s="182"/>
      <c r="F288" s="182"/>
      <c r="G288" s="182"/>
    </row>
    <row r="289" spans="1:7" x14ac:dyDescent="0.2">
      <c r="A289" s="182"/>
      <c r="B289" s="182"/>
      <c r="C289" s="182"/>
      <c r="D289" s="182"/>
      <c r="E289" s="182"/>
      <c r="F289" s="182"/>
      <c r="G289" s="182"/>
    </row>
    <row r="290" spans="1:7" x14ac:dyDescent="0.2">
      <c r="A290" s="182"/>
      <c r="B290" s="182"/>
      <c r="C290" s="182"/>
      <c r="D290" s="182"/>
      <c r="E290" s="182"/>
      <c r="F290" s="182"/>
      <c r="G290" s="182"/>
    </row>
    <row r="291" spans="1:7" x14ac:dyDescent="0.2">
      <c r="A291" s="182"/>
      <c r="B291" s="182"/>
      <c r="C291" s="182"/>
      <c r="D291" s="182"/>
      <c r="E291" s="182"/>
      <c r="F291" s="182"/>
      <c r="G291" s="182"/>
    </row>
    <row r="292" spans="1:7" x14ac:dyDescent="0.2">
      <c r="A292" s="182"/>
      <c r="B292" s="182"/>
      <c r="C292" s="182"/>
      <c r="D292" s="182"/>
      <c r="E292" s="182"/>
      <c r="F292" s="182"/>
      <c r="G292" s="182"/>
    </row>
    <row r="293" spans="1:7" x14ac:dyDescent="0.2">
      <c r="A293" s="182"/>
      <c r="B293" s="182"/>
      <c r="C293" s="182"/>
      <c r="D293" s="182"/>
      <c r="E293" s="182"/>
      <c r="F293" s="182"/>
      <c r="G293" s="182"/>
    </row>
    <row r="294" spans="1:7" x14ac:dyDescent="0.2">
      <c r="A294" s="182"/>
      <c r="B294" s="182"/>
      <c r="C294" s="182"/>
      <c r="D294" s="182"/>
      <c r="E294" s="182"/>
      <c r="F294" s="182"/>
      <c r="G294" s="182"/>
    </row>
    <row r="295" spans="1:7" x14ac:dyDescent="0.2">
      <c r="A295" s="182"/>
      <c r="B295" s="182"/>
      <c r="C295" s="182"/>
      <c r="D295" s="182"/>
      <c r="E295" s="182"/>
      <c r="F295" s="182"/>
      <c r="G295" s="182"/>
    </row>
    <row r="296" spans="1:7" x14ac:dyDescent="0.2">
      <c r="A296" s="182"/>
      <c r="B296" s="182"/>
      <c r="C296" s="182"/>
      <c r="D296" s="182"/>
      <c r="E296" s="182"/>
      <c r="F296" s="182"/>
      <c r="G296" s="182"/>
    </row>
    <row r="297" spans="1:7" x14ac:dyDescent="0.2">
      <c r="A297" s="182"/>
      <c r="B297" s="182"/>
      <c r="C297" s="182"/>
      <c r="D297" s="182"/>
      <c r="E297" s="182"/>
      <c r="F297" s="182"/>
      <c r="G297" s="182"/>
    </row>
    <row r="298" spans="1:7" x14ac:dyDescent="0.2">
      <c r="A298" s="182"/>
      <c r="B298" s="182"/>
      <c r="C298" s="182"/>
      <c r="D298" s="182"/>
      <c r="E298" s="182"/>
      <c r="F298" s="182"/>
      <c r="G298" s="182"/>
    </row>
    <row r="299" spans="1:7" x14ac:dyDescent="0.2">
      <c r="A299" s="182"/>
      <c r="B299" s="182"/>
      <c r="C299" s="182"/>
      <c r="D299" s="182"/>
      <c r="E299" s="182"/>
      <c r="F299" s="182"/>
      <c r="G299" s="182"/>
    </row>
    <row r="300" spans="1:7" x14ac:dyDescent="0.2">
      <c r="A300" s="182"/>
      <c r="B300" s="182"/>
      <c r="C300" s="182"/>
      <c r="D300" s="182"/>
      <c r="E300" s="182"/>
      <c r="F300" s="182"/>
      <c r="G300" s="182"/>
    </row>
    <row r="301" spans="1:7" x14ac:dyDescent="0.2">
      <c r="A301" s="182"/>
      <c r="B301" s="182"/>
      <c r="C301" s="182"/>
      <c r="D301" s="182"/>
      <c r="E301" s="182"/>
      <c r="F301" s="182"/>
      <c r="G301" s="182"/>
    </row>
    <row r="302" spans="1:7" x14ac:dyDescent="0.2">
      <c r="A302" s="182"/>
      <c r="B302" s="182"/>
      <c r="C302" s="182"/>
      <c r="D302" s="182"/>
      <c r="E302" s="182"/>
      <c r="F302" s="182"/>
      <c r="G302" s="182"/>
    </row>
    <row r="303" spans="1:7" x14ac:dyDescent="0.2">
      <c r="A303" s="182"/>
      <c r="B303" s="182"/>
      <c r="C303" s="182"/>
      <c r="D303" s="182"/>
      <c r="E303" s="182"/>
      <c r="F303" s="182"/>
      <c r="G303" s="182"/>
    </row>
    <row r="304" spans="1:7" x14ac:dyDescent="0.2">
      <c r="A304" s="182"/>
      <c r="B304" s="182"/>
      <c r="C304" s="182"/>
      <c r="D304" s="182"/>
      <c r="E304" s="182"/>
      <c r="F304" s="182"/>
      <c r="G304" s="182"/>
    </row>
    <row r="305" spans="1:7" x14ac:dyDescent="0.2">
      <c r="A305" s="182"/>
      <c r="B305" s="182"/>
      <c r="C305" s="182"/>
      <c r="D305" s="182"/>
      <c r="E305" s="182"/>
      <c r="F305" s="182"/>
      <c r="G305" s="182"/>
    </row>
    <row r="306" spans="1:7" x14ac:dyDescent="0.2">
      <c r="A306" s="182"/>
      <c r="B306" s="182"/>
      <c r="C306" s="182"/>
      <c r="D306" s="182"/>
      <c r="E306" s="182"/>
      <c r="F306" s="182"/>
      <c r="G306" s="182"/>
    </row>
    <row r="307" spans="1:7" x14ac:dyDescent="0.2">
      <c r="A307" s="182"/>
      <c r="B307" s="182"/>
      <c r="C307" s="182"/>
      <c r="D307" s="182"/>
      <c r="E307" s="182"/>
      <c r="F307" s="182"/>
      <c r="G307" s="182"/>
    </row>
    <row r="308" spans="1:7" x14ac:dyDescent="0.2">
      <c r="A308" s="182"/>
      <c r="B308" s="182"/>
      <c r="C308" s="182"/>
      <c r="D308" s="182"/>
      <c r="E308" s="182"/>
      <c r="F308" s="182"/>
      <c r="G308" s="182"/>
    </row>
    <row r="309" spans="1:7" x14ac:dyDescent="0.2">
      <c r="A309" s="182"/>
      <c r="B309" s="182"/>
      <c r="C309" s="182"/>
      <c r="D309" s="182"/>
      <c r="E309" s="182"/>
      <c r="F309" s="182"/>
      <c r="G309" s="182"/>
    </row>
    <row r="310" spans="1:7" x14ac:dyDescent="0.2">
      <c r="A310" s="182"/>
      <c r="B310" s="182"/>
      <c r="C310" s="182"/>
      <c r="D310" s="182"/>
      <c r="E310" s="182"/>
      <c r="F310" s="182"/>
      <c r="G310" s="182"/>
    </row>
    <row r="311" spans="1:7" x14ac:dyDescent="0.2">
      <c r="A311" s="182"/>
      <c r="B311" s="182"/>
      <c r="C311" s="182"/>
      <c r="D311" s="182"/>
      <c r="E311" s="182"/>
      <c r="F311" s="182"/>
      <c r="G311" s="182"/>
    </row>
    <row r="312" spans="1:7" x14ac:dyDescent="0.2">
      <c r="A312" s="182"/>
      <c r="B312" s="182"/>
      <c r="C312" s="182"/>
      <c r="D312" s="182"/>
      <c r="E312" s="182"/>
      <c r="F312" s="182"/>
      <c r="G312" s="182"/>
    </row>
    <row r="313" spans="1:7" x14ac:dyDescent="0.2">
      <c r="A313" s="182"/>
      <c r="B313" s="182"/>
      <c r="C313" s="182"/>
      <c r="D313" s="182"/>
      <c r="E313" s="182"/>
      <c r="F313" s="182"/>
      <c r="G313" s="182"/>
    </row>
    <row r="314" spans="1:7" x14ac:dyDescent="0.2">
      <c r="A314" s="182"/>
      <c r="B314" s="182"/>
      <c r="C314" s="182"/>
      <c r="D314" s="182"/>
      <c r="E314" s="182"/>
      <c r="F314" s="182"/>
      <c r="G314" s="182"/>
    </row>
    <row r="315" spans="1:7" x14ac:dyDescent="0.2">
      <c r="A315" s="182"/>
      <c r="B315" s="182"/>
      <c r="C315" s="182"/>
      <c r="D315" s="182"/>
      <c r="E315" s="182"/>
      <c r="F315" s="182"/>
      <c r="G315" s="182"/>
    </row>
    <row r="316" spans="1:7" x14ac:dyDescent="0.2">
      <c r="A316" s="182"/>
      <c r="B316" s="182"/>
      <c r="C316" s="182"/>
      <c r="D316" s="182"/>
      <c r="E316" s="182"/>
      <c r="F316" s="182"/>
      <c r="G316" s="182"/>
    </row>
    <row r="317" spans="1:7" x14ac:dyDescent="0.2">
      <c r="A317" s="182"/>
      <c r="B317" s="182"/>
      <c r="C317" s="182"/>
      <c r="D317" s="182"/>
      <c r="E317" s="182"/>
      <c r="F317" s="182"/>
      <c r="G317" s="182"/>
    </row>
    <row r="318" spans="1:7" x14ac:dyDescent="0.2">
      <c r="A318" s="182"/>
      <c r="B318" s="182"/>
      <c r="C318" s="182"/>
      <c r="D318" s="182"/>
      <c r="E318" s="182"/>
      <c r="F318" s="182"/>
      <c r="G318" s="182"/>
    </row>
    <row r="319" spans="1:7" x14ac:dyDescent="0.2">
      <c r="A319" s="182"/>
      <c r="B319" s="182"/>
      <c r="C319" s="182"/>
      <c r="D319" s="182"/>
      <c r="E319" s="182"/>
      <c r="F319" s="182"/>
      <c r="G319" s="182"/>
    </row>
    <row r="320" spans="1:7" x14ac:dyDescent="0.2">
      <c r="A320" s="182"/>
      <c r="B320" s="182"/>
      <c r="C320" s="182"/>
      <c r="D320" s="182"/>
      <c r="E320" s="182"/>
      <c r="F320" s="182"/>
      <c r="G320" s="182"/>
    </row>
    <row r="321" spans="1:7" x14ac:dyDescent="0.2">
      <c r="A321" s="182"/>
      <c r="B321" s="182"/>
      <c r="C321" s="182"/>
      <c r="D321" s="182"/>
      <c r="E321" s="182"/>
      <c r="F321" s="182"/>
      <c r="G321" s="182"/>
    </row>
    <row r="322" spans="1:7" x14ac:dyDescent="0.2">
      <c r="A322" s="182"/>
      <c r="B322" s="182"/>
      <c r="C322" s="182"/>
      <c r="D322" s="182"/>
      <c r="E322" s="182"/>
      <c r="F322" s="182"/>
      <c r="G322" s="182"/>
    </row>
    <row r="323" spans="1:7" x14ac:dyDescent="0.2">
      <c r="A323" s="182"/>
      <c r="B323" s="182"/>
      <c r="C323" s="182"/>
      <c r="D323" s="182"/>
      <c r="E323" s="182"/>
      <c r="F323" s="182"/>
      <c r="G323" s="182"/>
    </row>
    <row r="324" spans="1:7" x14ac:dyDescent="0.2">
      <c r="A324" s="182"/>
      <c r="B324" s="182"/>
      <c r="C324" s="182"/>
      <c r="D324" s="182"/>
      <c r="E324" s="182"/>
      <c r="F324" s="182"/>
      <c r="G324" s="182"/>
    </row>
    <row r="325" spans="1:7" x14ac:dyDescent="0.2">
      <c r="A325" s="182"/>
      <c r="B325" s="182"/>
      <c r="C325" s="182"/>
      <c r="D325" s="182"/>
      <c r="E325" s="182"/>
      <c r="F325" s="182"/>
      <c r="G325" s="182"/>
    </row>
    <row r="326" spans="1:7" x14ac:dyDescent="0.2">
      <c r="A326" s="182"/>
      <c r="B326" s="182"/>
      <c r="C326" s="182"/>
      <c r="D326" s="182"/>
      <c r="E326" s="182"/>
      <c r="F326" s="182"/>
      <c r="G326" s="182"/>
    </row>
    <row r="327" spans="1:7" x14ac:dyDescent="0.2">
      <c r="A327" s="182"/>
      <c r="B327" s="182"/>
      <c r="C327" s="182"/>
      <c r="D327" s="182"/>
      <c r="E327" s="182"/>
      <c r="F327" s="182"/>
      <c r="G327" s="182"/>
    </row>
    <row r="328" spans="1:7" x14ac:dyDescent="0.2">
      <c r="A328" s="182"/>
      <c r="B328" s="182"/>
      <c r="C328" s="182"/>
      <c r="D328" s="182"/>
      <c r="E328" s="182"/>
      <c r="F328" s="182"/>
      <c r="G328" s="182"/>
    </row>
    <row r="329" spans="1:7" x14ac:dyDescent="0.2">
      <c r="A329" s="182"/>
      <c r="B329" s="182"/>
      <c r="C329" s="182"/>
      <c r="D329" s="182"/>
      <c r="E329" s="182"/>
      <c r="F329" s="182"/>
      <c r="G329" s="182"/>
    </row>
    <row r="330" spans="1:7" x14ac:dyDescent="0.2">
      <c r="A330" s="182"/>
      <c r="B330" s="182"/>
      <c r="C330" s="182"/>
      <c r="D330" s="182"/>
      <c r="E330" s="182"/>
      <c r="F330" s="182"/>
      <c r="G330" s="182"/>
    </row>
    <row r="331" spans="1:7" x14ac:dyDescent="0.2">
      <c r="A331" s="182"/>
      <c r="B331" s="182"/>
      <c r="C331" s="182"/>
      <c r="D331" s="182"/>
      <c r="E331" s="182"/>
      <c r="F331" s="182"/>
      <c r="G331" s="182"/>
    </row>
    <row r="332" spans="1:7" x14ac:dyDescent="0.2">
      <c r="A332" s="182"/>
      <c r="B332" s="182"/>
      <c r="C332" s="182"/>
      <c r="D332" s="182"/>
      <c r="E332" s="182"/>
      <c r="F332" s="182"/>
      <c r="G332" s="182"/>
    </row>
    <row r="333" spans="1:7" x14ac:dyDescent="0.2">
      <c r="A333" s="182"/>
      <c r="B333" s="182"/>
      <c r="C333" s="182"/>
      <c r="D333" s="182"/>
      <c r="E333" s="182"/>
      <c r="F333" s="182"/>
      <c r="G333" s="182"/>
    </row>
    <row r="334" spans="1:7" x14ac:dyDescent="0.2">
      <c r="A334" s="182"/>
      <c r="B334" s="182"/>
      <c r="C334" s="182"/>
      <c r="D334" s="182"/>
      <c r="E334" s="182"/>
      <c r="F334" s="182"/>
      <c r="G334" s="182"/>
    </row>
    <row r="335" spans="1:7" x14ac:dyDescent="0.2">
      <c r="A335" s="182"/>
      <c r="B335" s="182"/>
      <c r="C335" s="182"/>
      <c r="D335" s="182"/>
      <c r="E335" s="182"/>
      <c r="F335" s="182"/>
      <c r="G335" s="182"/>
    </row>
    <row r="336" spans="1:7" x14ac:dyDescent="0.2">
      <c r="A336" s="182"/>
      <c r="B336" s="182"/>
      <c r="C336" s="182"/>
      <c r="D336" s="182"/>
      <c r="E336" s="182"/>
      <c r="F336" s="182"/>
      <c r="G336" s="182"/>
    </row>
    <row r="337" spans="1:7" x14ac:dyDescent="0.2">
      <c r="A337" s="182"/>
      <c r="B337" s="182"/>
      <c r="C337" s="182"/>
      <c r="D337" s="182"/>
      <c r="E337" s="182"/>
      <c r="F337" s="182"/>
      <c r="G337" s="182"/>
    </row>
    <row r="338" spans="1:7" x14ac:dyDescent="0.2">
      <c r="A338" s="182"/>
      <c r="B338" s="182"/>
      <c r="C338" s="182"/>
      <c r="D338" s="182"/>
      <c r="E338" s="182"/>
      <c r="F338" s="182"/>
      <c r="G338" s="182"/>
    </row>
    <row r="339" spans="1:7" x14ac:dyDescent="0.2">
      <c r="A339" s="182"/>
      <c r="B339" s="182"/>
      <c r="C339" s="182"/>
      <c r="D339" s="182"/>
      <c r="E339" s="182"/>
      <c r="F339" s="182"/>
      <c r="G339" s="182"/>
    </row>
    <row r="340" spans="1:7" x14ac:dyDescent="0.2">
      <c r="A340" s="182"/>
      <c r="B340" s="182"/>
      <c r="C340" s="182"/>
      <c r="D340" s="182"/>
      <c r="E340" s="182"/>
      <c r="F340" s="182"/>
      <c r="G340" s="182"/>
    </row>
    <row r="341" spans="1:7" x14ac:dyDescent="0.2">
      <c r="A341" s="182"/>
      <c r="B341" s="182"/>
      <c r="C341" s="182"/>
      <c r="D341" s="182"/>
      <c r="E341" s="182"/>
      <c r="F341" s="182"/>
      <c r="G341" s="182"/>
    </row>
    <row r="342" spans="1:7" x14ac:dyDescent="0.2">
      <c r="A342" s="182"/>
      <c r="B342" s="182"/>
      <c r="C342" s="182"/>
      <c r="D342" s="182"/>
      <c r="E342" s="182"/>
      <c r="F342" s="182"/>
      <c r="G342" s="182"/>
    </row>
    <row r="343" spans="1:7" x14ac:dyDescent="0.2">
      <c r="A343" s="182"/>
      <c r="B343" s="182"/>
      <c r="C343" s="182"/>
      <c r="D343" s="182"/>
      <c r="E343" s="182"/>
      <c r="F343" s="182"/>
      <c r="G343" s="182"/>
    </row>
    <row r="344" spans="1:7" x14ac:dyDescent="0.2">
      <c r="A344" s="182"/>
      <c r="B344" s="182"/>
      <c r="C344" s="182"/>
      <c r="D344" s="182"/>
      <c r="E344" s="182"/>
      <c r="F344" s="182"/>
      <c r="G344" s="182"/>
    </row>
    <row r="345" spans="1:7" x14ac:dyDescent="0.2">
      <c r="A345" s="182"/>
      <c r="B345" s="182"/>
      <c r="C345" s="182"/>
      <c r="D345" s="182"/>
      <c r="E345" s="182"/>
      <c r="F345" s="182"/>
      <c r="G345" s="182"/>
    </row>
    <row r="346" spans="1:7" x14ac:dyDescent="0.2">
      <c r="A346" s="182"/>
      <c r="B346" s="182"/>
      <c r="C346" s="182"/>
      <c r="D346" s="182"/>
      <c r="E346" s="182"/>
      <c r="F346" s="182"/>
      <c r="G346" s="182"/>
    </row>
    <row r="347" spans="1:7" x14ac:dyDescent="0.2">
      <c r="A347" s="182"/>
      <c r="B347" s="182"/>
      <c r="C347" s="182"/>
      <c r="D347" s="182"/>
      <c r="E347" s="182"/>
      <c r="F347" s="182"/>
      <c r="G347" s="182"/>
    </row>
    <row r="348" spans="1:7" x14ac:dyDescent="0.2">
      <c r="A348" s="182"/>
      <c r="B348" s="182"/>
      <c r="C348" s="182"/>
      <c r="D348" s="182"/>
      <c r="E348" s="182"/>
      <c r="F348" s="182"/>
      <c r="G348" s="182"/>
    </row>
    <row r="349" spans="1:7" x14ac:dyDescent="0.2">
      <c r="A349" s="182"/>
      <c r="B349" s="182"/>
      <c r="C349" s="182"/>
      <c r="D349" s="182"/>
      <c r="E349" s="182"/>
      <c r="F349" s="182"/>
      <c r="G349" s="182"/>
    </row>
    <row r="350" spans="1:7" x14ac:dyDescent="0.2">
      <c r="A350" s="182"/>
      <c r="B350" s="182"/>
      <c r="C350" s="182"/>
      <c r="D350" s="182"/>
      <c r="E350" s="182"/>
      <c r="F350" s="182"/>
      <c r="G350" s="182"/>
    </row>
    <row r="351" spans="1:7" x14ac:dyDescent="0.2">
      <c r="A351" s="182"/>
      <c r="B351" s="182"/>
      <c r="C351" s="182"/>
      <c r="D351" s="182"/>
      <c r="E351" s="182"/>
      <c r="F351" s="182"/>
      <c r="G351" s="182"/>
    </row>
    <row r="352" spans="1:7" x14ac:dyDescent="0.2">
      <c r="A352" s="182"/>
      <c r="B352" s="182"/>
      <c r="C352" s="182"/>
      <c r="D352" s="182"/>
      <c r="E352" s="182"/>
      <c r="F352" s="182"/>
      <c r="G352" s="182"/>
    </row>
    <row r="353" spans="1:7" x14ac:dyDescent="0.2">
      <c r="A353" s="182"/>
      <c r="B353" s="182"/>
      <c r="C353" s="182"/>
      <c r="D353" s="182"/>
      <c r="E353" s="182"/>
      <c r="F353" s="182"/>
      <c r="G353" s="182"/>
    </row>
    <row r="354" spans="1:7" x14ac:dyDescent="0.2">
      <c r="A354" s="182"/>
      <c r="B354" s="182"/>
      <c r="C354" s="182"/>
      <c r="D354" s="182"/>
      <c r="E354" s="182"/>
      <c r="F354" s="182"/>
      <c r="G354" s="182"/>
    </row>
    <row r="355" spans="1:7" x14ac:dyDescent="0.2">
      <c r="A355" s="182"/>
      <c r="B355" s="182"/>
      <c r="C355" s="182"/>
      <c r="D355" s="182"/>
      <c r="E355" s="182"/>
      <c r="F355" s="182"/>
      <c r="G355" s="182"/>
    </row>
    <row r="356" spans="1:7" x14ac:dyDescent="0.2">
      <c r="A356" s="182"/>
      <c r="B356" s="182"/>
      <c r="C356" s="182"/>
      <c r="D356" s="182"/>
      <c r="E356" s="182"/>
      <c r="F356" s="182"/>
      <c r="G356" s="182"/>
    </row>
    <row r="357" spans="1:7" x14ac:dyDescent="0.2">
      <c r="A357" s="182"/>
      <c r="B357" s="182"/>
      <c r="C357" s="182"/>
      <c r="D357" s="182"/>
      <c r="E357" s="182"/>
      <c r="F357" s="182"/>
      <c r="G357" s="182"/>
    </row>
    <row r="358" spans="1:7" x14ac:dyDescent="0.2">
      <c r="A358" s="182"/>
      <c r="B358" s="182"/>
      <c r="C358" s="182"/>
      <c r="D358" s="182"/>
      <c r="E358" s="182"/>
      <c r="F358" s="182"/>
      <c r="G358" s="182"/>
    </row>
    <row r="359" spans="1:7" x14ac:dyDescent="0.2">
      <c r="A359" s="182"/>
      <c r="B359" s="182"/>
      <c r="C359" s="182"/>
      <c r="D359" s="182"/>
      <c r="E359" s="182"/>
      <c r="F359" s="182"/>
      <c r="G359" s="182"/>
    </row>
    <row r="360" spans="1:7" x14ac:dyDescent="0.2">
      <c r="A360" s="182"/>
      <c r="B360" s="182"/>
      <c r="C360" s="182"/>
      <c r="D360" s="182"/>
      <c r="E360" s="182"/>
      <c r="F360" s="182"/>
      <c r="G360" s="182"/>
    </row>
    <row r="361" spans="1:7" x14ac:dyDescent="0.2">
      <c r="A361" s="182"/>
      <c r="B361" s="182"/>
      <c r="C361" s="182"/>
      <c r="D361" s="182"/>
      <c r="E361" s="182"/>
      <c r="F361" s="182"/>
      <c r="G361" s="182"/>
    </row>
    <row r="362" spans="1:7" x14ac:dyDescent="0.2">
      <c r="A362" s="182"/>
      <c r="B362" s="182"/>
      <c r="C362" s="182"/>
      <c r="D362" s="182"/>
      <c r="E362" s="182"/>
      <c r="F362" s="182"/>
      <c r="G362" s="182"/>
    </row>
    <row r="363" spans="1:7" x14ac:dyDescent="0.2">
      <c r="A363" s="182"/>
      <c r="B363" s="182"/>
      <c r="C363" s="182"/>
      <c r="D363" s="182"/>
      <c r="E363" s="182"/>
      <c r="F363" s="182"/>
      <c r="G363" s="182"/>
    </row>
    <row r="364" spans="1:7" x14ac:dyDescent="0.2">
      <c r="A364" s="182"/>
      <c r="B364" s="182"/>
      <c r="C364" s="182"/>
      <c r="D364" s="182"/>
      <c r="E364" s="182"/>
      <c r="F364" s="182"/>
      <c r="G364" s="182"/>
    </row>
    <row r="365" spans="1:7" x14ac:dyDescent="0.2">
      <c r="A365" s="182"/>
      <c r="B365" s="182"/>
      <c r="C365" s="182"/>
      <c r="D365" s="182"/>
      <c r="E365" s="182"/>
      <c r="F365" s="182"/>
      <c r="G365" s="182"/>
    </row>
    <row r="366" spans="1:7" x14ac:dyDescent="0.2">
      <c r="A366" s="182"/>
      <c r="B366" s="182"/>
      <c r="C366" s="182"/>
      <c r="D366" s="182"/>
      <c r="E366" s="182"/>
      <c r="F366" s="182"/>
      <c r="G366" s="182"/>
    </row>
    <row r="367" spans="1:7" x14ac:dyDescent="0.2">
      <c r="A367" s="182"/>
      <c r="B367" s="182"/>
      <c r="C367" s="182"/>
      <c r="D367" s="182"/>
      <c r="E367" s="182"/>
      <c r="F367" s="182"/>
      <c r="G367" s="182"/>
    </row>
    <row r="368" spans="1:7" x14ac:dyDescent="0.2">
      <c r="A368" s="182"/>
      <c r="B368" s="182"/>
      <c r="C368" s="182"/>
      <c r="D368" s="182"/>
      <c r="E368" s="182"/>
      <c r="F368" s="182"/>
      <c r="G368" s="182"/>
    </row>
    <row r="369" spans="1:7" x14ac:dyDescent="0.2">
      <c r="A369" s="182"/>
      <c r="B369" s="182"/>
      <c r="C369" s="182"/>
      <c r="D369" s="182"/>
      <c r="E369" s="182"/>
      <c r="F369" s="182"/>
      <c r="G369" s="182"/>
    </row>
    <row r="370" spans="1:7" x14ac:dyDescent="0.2">
      <c r="A370" s="182"/>
      <c r="B370" s="182"/>
      <c r="C370" s="182"/>
      <c r="D370" s="182"/>
      <c r="E370" s="182"/>
      <c r="F370" s="182"/>
      <c r="G370" s="182"/>
    </row>
    <row r="371" spans="1:7" x14ac:dyDescent="0.2">
      <c r="A371" s="182"/>
      <c r="B371" s="182"/>
      <c r="C371" s="182"/>
      <c r="D371" s="182"/>
      <c r="E371" s="182"/>
      <c r="F371" s="182"/>
      <c r="G371" s="182"/>
    </row>
    <row r="372" spans="1:7" x14ac:dyDescent="0.2">
      <c r="A372" s="182"/>
      <c r="B372" s="182"/>
      <c r="C372" s="182"/>
      <c r="D372" s="182"/>
      <c r="E372" s="182"/>
      <c r="F372" s="182"/>
      <c r="G372" s="182"/>
    </row>
    <row r="373" spans="1:7" x14ac:dyDescent="0.2">
      <c r="A373" s="182"/>
      <c r="B373" s="182"/>
      <c r="C373" s="182"/>
      <c r="D373" s="182"/>
      <c r="E373" s="182"/>
      <c r="F373" s="182"/>
      <c r="G373" s="182"/>
    </row>
    <row r="374" spans="1:7" x14ac:dyDescent="0.2">
      <c r="A374" s="182"/>
      <c r="B374" s="182"/>
      <c r="C374" s="182"/>
      <c r="D374" s="182"/>
      <c r="E374" s="182"/>
      <c r="F374" s="182"/>
      <c r="G374" s="182"/>
    </row>
    <row r="375" spans="1:7" x14ac:dyDescent="0.2">
      <c r="A375" s="182"/>
      <c r="B375" s="182"/>
      <c r="C375" s="182"/>
      <c r="D375" s="182"/>
      <c r="E375" s="182"/>
      <c r="F375" s="182"/>
      <c r="G375" s="182"/>
    </row>
    <row r="376" spans="1:7" x14ac:dyDescent="0.2">
      <c r="A376" s="182"/>
      <c r="B376" s="182"/>
      <c r="C376" s="182"/>
      <c r="D376" s="182"/>
      <c r="E376" s="182"/>
      <c r="F376" s="182"/>
      <c r="G376" s="182"/>
    </row>
    <row r="377" spans="1:7" x14ac:dyDescent="0.2">
      <c r="A377" s="182"/>
      <c r="B377" s="182"/>
      <c r="C377" s="182"/>
      <c r="D377" s="182"/>
      <c r="E377" s="182"/>
      <c r="F377" s="182"/>
      <c r="G377" s="182"/>
    </row>
    <row r="378" spans="1:7" x14ac:dyDescent="0.2">
      <c r="A378" s="182"/>
      <c r="B378" s="182"/>
      <c r="C378" s="182"/>
      <c r="D378" s="182"/>
      <c r="E378" s="182"/>
      <c r="F378" s="182"/>
      <c r="G378" s="182"/>
    </row>
    <row r="379" spans="1:7" x14ac:dyDescent="0.2">
      <c r="A379" s="182"/>
      <c r="B379" s="182"/>
      <c r="C379" s="182"/>
      <c r="D379" s="182"/>
      <c r="E379" s="182"/>
      <c r="F379" s="182"/>
      <c r="G379" s="182"/>
    </row>
    <row r="380" spans="1:7" x14ac:dyDescent="0.2">
      <c r="A380" s="182"/>
      <c r="B380" s="182"/>
      <c r="C380" s="182"/>
      <c r="D380" s="182"/>
      <c r="E380" s="182"/>
      <c r="F380" s="182"/>
      <c r="G380" s="182"/>
    </row>
    <row r="381" spans="1:7" x14ac:dyDescent="0.2">
      <c r="A381" s="182"/>
      <c r="B381" s="182"/>
      <c r="C381" s="182"/>
      <c r="D381" s="182"/>
      <c r="E381" s="182"/>
      <c r="F381" s="182"/>
      <c r="G381" s="182"/>
    </row>
    <row r="382" spans="1:7" x14ac:dyDescent="0.2">
      <c r="A382" s="182"/>
      <c r="B382" s="182"/>
      <c r="C382" s="182"/>
      <c r="D382" s="182"/>
      <c r="E382" s="182"/>
      <c r="F382" s="182"/>
      <c r="G382" s="182"/>
    </row>
    <row r="383" spans="1:7" x14ac:dyDescent="0.2">
      <c r="A383" s="182"/>
      <c r="B383" s="182"/>
      <c r="C383" s="182"/>
      <c r="D383" s="182"/>
      <c r="E383" s="182"/>
      <c r="F383" s="182"/>
      <c r="G383" s="182"/>
    </row>
    <row r="384" spans="1:7" x14ac:dyDescent="0.2">
      <c r="A384" s="182"/>
      <c r="B384" s="182"/>
      <c r="C384" s="182"/>
      <c r="D384" s="182"/>
      <c r="E384" s="182"/>
      <c r="F384" s="182"/>
      <c r="G384" s="182"/>
    </row>
    <row r="385" spans="1:7" x14ac:dyDescent="0.2">
      <c r="A385" s="182"/>
      <c r="B385" s="182"/>
      <c r="C385" s="182"/>
      <c r="D385" s="182"/>
      <c r="E385" s="182"/>
      <c r="F385" s="182"/>
      <c r="G385" s="182"/>
    </row>
    <row r="386" spans="1:7" x14ac:dyDescent="0.2">
      <c r="A386" s="182"/>
      <c r="B386" s="182"/>
      <c r="C386" s="182"/>
      <c r="D386" s="182"/>
      <c r="E386" s="182"/>
      <c r="F386" s="182"/>
      <c r="G386" s="182"/>
    </row>
    <row r="387" spans="1:7" x14ac:dyDescent="0.2">
      <c r="A387" s="182"/>
      <c r="B387" s="182"/>
      <c r="C387" s="182"/>
      <c r="D387" s="182"/>
      <c r="E387" s="182"/>
      <c r="F387" s="182"/>
      <c r="G387" s="182"/>
    </row>
    <row r="388" spans="1:7" x14ac:dyDescent="0.2">
      <c r="A388" s="182"/>
      <c r="B388" s="182"/>
      <c r="C388" s="182"/>
      <c r="D388" s="182"/>
      <c r="E388" s="182"/>
      <c r="F388" s="182"/>
      <c r="G388" s="182"/>
    </row>
    <row r="389" spans="1:7" x14ac:dyDescent="0.2">
      <c r="A389" s="182"/>
      <c r="B389" s="182"/>
      <c r="C389" s="182"/>
      <c r="D389" s="182"/>
      <c r="E389" s="182"/>
      <c r="F389" s="182"/>
      <c r="G389" s="182"/>
    </row>
    <row r="390" spans="1:7" x14ac:dyDescent="0.2">
      <c r="A390" s="182"/>
      <c r="B390" s="182"/>
      <c r="C390" s="182"/>
      <c r="D390" s="182"/>
      <c r="E390" s="182"/>
      <c r="F390" s="182"/>
      <c r="G390" s="182"/>
    </row>
    <row r="391" spans="1:7" x14ac:dyDescent="0.2">
      <c r="A391" s="182"/>
      <c r="B391" s="182"/>
      <c r="C391" s="182"/>
      <c r="D391" s="182"/>
      <c r="E391" s="182"/>
      <c r="F391" s="182"/>
      <c r="G391" s="182"/>
    </row>
    <row r="392" spans="1:7" x14ac:dyDescent="0.2">
      <c r="A392" s="182"/>
      <c r="B392" s="182"/>
      <c r="C392" s="182"/>
      <c r="D392" s="182"/>
      <c r="E392" s="182"/>
      <c r="F392" s="182"/>
      <c r="G392" s="182"/>
    </row>
    <row r="393" spans="1:7" x14ac:dyDescent="0.2">
      <c r="A393" s="182"/>
      <c r="B393" s="182"/>
      <c r="C393" s="182"/>
      <c r="D393" s="182"/>
      <c r="E393" s="182"/>
      <c r="F393" s="182"/>
      <c r="G393" s="182"/>
    </row>
    <row r="394" spans="1:7" x14ac:dyDescent="0.2">
      <c r="A394" s="182"/>
      <c r="B394" s="182"/>
      <c r="C394" s="182"/>
      <c r="D394" s="182"/>
      <c r="E394" s="182"/>
      <c r="F394" s="182"/>
      <c r="G394" s="182"/>
    </row>
    <row r="395" spans="1:7" x14ac:dyDescent="0.2">
      <c r="A395" s="182"/>
      <c r="B395" s="182"/>
      <c r="C395" s="182"/>
      <c r="D395" s="182"/>
      <c r="E395" s="182"/>
      <c r="F395" s="182"/>
      <c r="G395" s="182"/>
    </row>
    <row r="396" spans="1:7" x14ac:dyDescent="0.2">
      <c r="A396" s="182"/>
      <c r="B396" s="182"/>
      <c r="C396" s="182"/>
      <c r="D396" s="182"/>
      <c r="E396" s="182"/>
      <c r="F396" s="182"/>
      <c r="G396" s="182"/>
    </row>
    <row r="397" spans="1:7" x14ac:dyDescent="0.2">
      <c r="A397" s="182"/>
      <c r="B397" s="182"/>
      <c r="C397" s="182"/>
      <c r="D397" s="182"/>
      <c r="E397" s="182"/>
      <c r="F397" s="182"/>
      <c r="G397" s="182"/>
    </row>
    <row r="398" spans="1:7" x14ac:dyDescent="0.2">
      <c r="A398" s="182"/>
      <c r="B398" s="182"/>
      <c r="C398" s="182"/>
      <c r="D398" s="182"/>
      <c r="E398" s="182"/>
      <c r="F398" s="182"/>
      <c r="G398" s="182"/>
    </row>
    <row r="399" spans="1:7" x14ac:dyDescent="0.2">
      <c r="A399" s="182"/>
      <c r="B399" s="182"/>
      <c r="C399" s="182"/>
      <c r="D399" s="182"/>
      <c r="E399" s="182"/>
      <c r="F399" s="182"/>
      <c r="G399" s="182"/>
    </row>
    <row r="400" spans="1:7" x14ac:dyDescent="0.2">
      <c r="A400" s="182"/>
      <c r="B400" s="182"/>
      <c r="C400" s="182"/>
      <c r="D400" s="182"/>
      <c r="E400" s="182"/>
      <c r="F400" s="182"/>
      <c r="G400" s="182"/>
    </row>
    <row r="401" spans="1:7" x14ac:dyDescent="0.2">
      <c r="A401" s="182"/>
      <c r="B401" s="182"/>
      <c r="C401" s="182"/>
      <c r="D401" s="182"/>
      <c r="E401" s="182"/>
      <c r="F401" s="182"/>
      <c r="G401" s="182"/>
    </row>
    <row r="402" spans="1:7" x14ac:dyDescent="0.2">
      <c r="A402" s="182"/>
      <c r="B402" s="182"/>
      <c r="C402" s="182"/>
      <c r="D402" s="182"/>
      <c r="E402" s="182"/>
      <c r="F402" s="182"/>
      <c r="G402" s="182"/>
    </row>
    <row r="403" spans="1:7" x14ac:dyDescent="0.2">
      <c r="A403" s="182"/>
      <c r="B403" s="182"/>
      <c r="C403" s="182"/>
      <c r="D403" s="182"/>
      <c r="E403" s="182"/>
      <c r="F403" s="182"/>
      <c r="G403" s="182"/>
    </row>
    <row r="404" spans="1:7" x14ac:dyDescent="0.2">
      <c r="A404" s="182"/>
      <c r="B404" s="182"/>
      <c r="C404" s="182"/>
      <c r="D404" s="182"/>
      <c r="E404" s="182"/>
      <c r="F404" s="182"/>
      <c r="G404" s="182"/>
    </row>
    <row r="405" spans="1:7" x14ac:dyDescent="0.2">
      <c r="A405" s="182"/>
      <c r="B405" s="182"/>
      <c r="C405" s="182"/>
      <c r="D405" s="182"/>
      <c r="E405" s="182"/>
      <c r="F405" s="182"/>
      <c r="G405" s="182"/>
    </row>
    <row r="406" spans="1:7" x14ac:dyDescent="0.2">
      <c r="A406" s="182"/>
      <c r="B406" s="182"/>
      <c r="C406" s="182"/>
      <c r="D406" s="182"/>
      <c r="E406" s="182"/>
      <c r="F406" s="182"/>
      <c r="G406" s="182"/>
    </row>
    <row r="407" spans="1:7" x14ac:dyDescent="0.2">
      <c r="A407" s="182"/>
      <c r="B407" s="182"/>
      <c r="C407" s="182"/>
      <c r="D407" s="182"/>
      <c r="E407" s="182"/>
      <c r="F407" s="182"/>
      <c r="G407" s="182"/>
    </row>
    <row r="408" spans="1:7" x14ac:dyDescent="0.2">
      <c r="A408" s="182"/>
      <c r="B408" s="182"/>
      <c r="C408" s="182"/>
      <c r="D408" s="182"/>
      <c r="E408" s="182"/>
      <c r="F408" s="182"/>
      <c r="G408" s="182"/>
    </row>
    <row r="409" spans="1:7" x14ac:dyDescent="0.2">
      <c r="A409" s="182"/>
      <c r="B409" s="182"/>
      <c r="C409" s="182"/>
      <c r="D409" s="182"/>
      <c r="E409" s="182"/>
      <c r="F409" s="182"/>
      <c r="G409" s="182"/>
    </row>
    <row r="410" spans="1:7" x14ac:dyDescent="0.2">
      <c r="A410" s="182"/>
      <c r="B410" s="182"/>
      <c r="C410" s="182"/>
      <c r="D410" s="182"/>
      <c r="E410" s="182"/>
      <c r="F410" s="182"/>
      <c r="G410" s="182"/>
    </row>
    <row r="411" spans="1:7" x14ac:dyDescent="0.2">
      <c r="A411" s="182"/>
      <c r="B411" s="182"/>
      <c r="C411" s="182"/>
      <c r="D411" s="182"/>
      <c r="E411" s="182"/>
      <c r="F411" s="182"/>
      <c r="G411" s="182"/>
    </row>
    <row r="412" spans="1:7" x14ac:dyDescent="0.2">
      <c r="A412" s="182"/>
      <c r="B412" s="182"/>
      <c r="C412" s="182"/>
      <c r="D412" s="182"/>
      <c r="E412" s="182"/>
      <c r="F412" s="182"/>
      <c r="G412" s="182"/>
    </row>
    <row r="413" spans="1:7" x14ac:dyDescent="0.2">
      <c r="A413" s="182"/>
      <c r="B413" s="182"/>
      <c r="C413" s="182"/>
      <c r="D413" s="182"/>
      <c r="E413" s="182"/>
      <c r="F413" s="182"/>
      <c r="G413" s="182"/>
    </row>
    <row r="414" spans="1:7" x14ac:dyDescent="0.2">
      <c r="A414" s="182"/>
      <c r="B414" s="182"/>
      <c r="C414" s="182"/>
      <c r="D414" s="182"/>
      <c r="E414" s="182"/>
      <c r="F414" s="182"/>
      <c r="G414" s="182"/>
    </row>
    <row r="415" spans="1:7" x14ac:dyDescent="0.2">
      <c r="A415" s="182"/>
      <c r="B415" s="182"/>
      <c r="C415" s="182"/>
      <c r="D415" s="182"/>
      <c r="E415" s="182"/>
      <c r="F415" s="182"/>
      <c r="G415" s="182"/>
    </row>
    <row r="416" spans="1:7" x14ac:dyDescent="0.2">
      <c r="A416" s="182"/>
      <c r="B416" s="182"/>
      <c r="C416" s="182"/>
      <c r="D416" s="182"/>
      <c r="E416" s="182"/>
      <c r="F416" s="182"/>
      <c r="G416" s="182"/>
    </row>
    <row r="417" spans="1:7" x14ac:dyDescent="0.2">
      <c r="A417" s="182"/>
      <c r="B417" s="182"/>
      <c r="C417" s="182"/>
      <c r="D417" s="182"/>
      <c r="E417" s="182"/>
      <c r="F417" s="182"/>
      <c r="G417" s="182"/>
    </row>
    <row r="418" spans="1:7" x14ac:dyDescent="0.2">
      <c r="A418" s="182"/>
      <c r="B418" s="182"/>
      <c r="C418" s="182"/>
      <c r="D418" s="182"/>
      <c r="E418" s="182"/>
      <c r="F418" s="182"/>
      <c r="G418" s="182"/>
    </row>
    <row r="419" spans="1:7" x14ac:dyDescent="0.2">
      <c r="A419" s="182"/>
      <c r="B419" s="182"/>
      <c r="C419" s="182"/>
      <c r="D419" s="182"/>
      <c r="E419" s="182"/>
      <c r="F419" s="182"/>
      <c r="G419" s="182"/>
    </row>
    <row r="420" spans="1:7" x14ac:dyDescent="0.2">
      <c r="A420" s="182"/>
      <c r="B420" s="182"/>
      <c r="C420" s="182"/>
      <c r="D420" s="182"/>
      <c r="E420" s="182"/>
      <c r="F420" s="182"/>
      <c r="G420" s="182"/>
    </row>
    <row r="421" spans="1:7" x14ac:dyDescent="0.2">
      <c r="A421" s="182"/>
      <c r="B421" s="182"/>
      <c r="C421" s="182"/>
      <c r="D421" s="182"/>
      <c r="E421" s="182"/>
      <c r="F421" s="182"/>
      <c r="G421" s="182"/>
    </row>
    <row r="422" spans="1:7" x14ac:dyDescent="0.2">
      <c r="A422" s="182"/>
      <c r="B422" s="182"/>
      <c r="C422" s="182"/>
      <c r="D422" s="182"/>
      <c r="E422" s="182"/>
      <c r="F422" s="182"/>
      <c r="G422" s="182"/>
    </row>
    <row r="423" spans="1:7" x14ac:dyDescent="0.2">
      <c r="A423" s="182"/>
      <c r="B423" s="182"/>
      <c r="C423" s="182"/>
      <c r="D423" s="182"/>
      <c r="E423" s="182"/>
      <c r="F423" s="182"/>
      <c r="G423" s="182"/>
    </row>
    <row r="424" spans="1:7" x14ac:dyDescent="0.2">
      <c r="A424" s="182"/>
      <c r="B424" s="182"/>
      <c r="C424" s="182"/>
      <c r="D424" s="182"/>
      <c r="E424" s="182"/>
      <c r="F424" s="182"/>
      <c r="G424" s="182"/>
    </row>
    <row r="425" spans="1:7" x14ac:dyDescent="0.2">
      <c r="A425" s="182"/>
      <c r="B425" s="182"/>
      <c r="C425" s="182"/>
      <c r="D425" s="182"/>
      <c r="E425" s="182"/>
      <c r="F425" s="182"/>
      <c r="G425" s="182"/>
    </row>
    <row r="426" spans="1:7" x14ac:dyDescent="0.2">
      <c r="A426" s="182"/>
      <c r="B426" s="182"/>
      <c r="C426" s="182"/>
      <c r="D426" s="182"/>
      <c r="E426" s="182"/>
      <c r="F426" s="182"/>
      <c r="G426" s="182"/>
    </row>
    <row r="427" spans="1:7" x14ac:dyDescent="0.2">
      <c r="A427" s="182"/>
      <c r="B427" s="182"/>
      <c r="C427" s="182"/>
      <c r="D427" s="182"/>
      <c r="E427" s="182"/>
      <c r="F427" s="182"/>
      <c r="G427" s="182"/>
    </row>
    <row r="428" spans="1:7" x14ac:dyDescent="0.2">
      <c r="A428" s="182"/>
      <c r="B428" s="182"/>
      <c r="C428" s="182"/>
      <c r="D428" s="182"/>
      <c r="E428" s="182"/>
      <c r="F428" s="182"/>
      <c r="G428" s="182"/>
    </row>
    <row r="429" spans="1:7" x14ac:dyDescent="0.2">
      <c r="A429" s="182"/>
      <c r="B429" s="182"/>
      <c r="C429" s="182"/>
      <c r="D429" s="182"/>
      <c r="E429" s="182"/>
      <c r="F429" s="182"/>
      <c r="G429" s="182"/>
    </row>
    <row r="430" spans="1:7" x14ac:dyDescent="0.2">
      <c r="A430" s="182"/>
      <c r="B430" s="182"/>
      <c r="C430" s="182"/>
      <c r="D430" s="182"/>
      <c r="E430" s="182"/>
      <c r="F430" s="182"/>
      <c r="G430" s="182"/>
    </row>
    <row r="431" spans="1:7" x14ac:dyDescent="0.2">
      <c r="A431" s="182"/>
      <c r="B431" s="182"/>
      <c r="C431" s="182"/>
      <c r="D431" s="182"/>
      <c r="E431" s="182"/>
      <c r="F431" s="182"/>
      <c r="G431" s="182"/>
    </row>
    <row r="432" spans="1:7" x14ac:dyDescent="0.2">
      <c r="A432" s="182"/>
      <c r="B432" s="182"/>
      <c r="C432" s="182"/>
      <c r="D432" s="182"/>
      <c r="E432" s="182"/>
      <c r="F432" s="182"/>
      <c r="G432" s="182"/>
    </row>
    <row r="433" spans="1:7" x14ac:dyDescent="0.2">
      <c r="A433" s="182"/>
      <c r="B433" s="182"/>
      <c r="C433" s="182"/>
      <c r="D433" s="182"/>
      <c r="E433" s="182"/>
      <c r="F433" s="182"/>
      <c r="G433" s="182"/>
    </row>
    <row r="434" spans="1:7" x14ac:dyDescent="0.2">
      <c r="A434" s="182"/>
      <c r="B434" s="182"/>
      <c r="C434" s="182"/>
      <c r="D434" s="182"/>
      <c r="E434" s="182"/>
      <c r="F434" s="182"/>
      <c r="G434" s="182"/>
    </row>
    <row r="435" spans="1:7" x14ac:dyDescent="0.2">
      <c r="A435" s="182"/>
      <c r="B435" s="182"/>
      <c r="C435" s="182"/>
      <c r="D435" s="182"/>
      <c r="E435" s="182"/>
      <c r="F435" s="182"/>
      <c r="G435" s="182"/>
    </row>
    <row r="436" spans="1:7" x14ac:dyDescent="0.2">
      <c r="A436" s="182"/>
      <c r="B436" s="182"/>
      <c r="C436" s="182"/>
      <c r="D436" s="182"/>
      <c r="E436" s="182"/>
      <c r="F436" s="182"/>
      <c r="G436" s="182"/>
    </row>
    <row r="437" spans="1:7" x14ac:dyDescent="0.2">
      <c r="A437" s="182"/>
      <c r="B437" s="182"/>
      <c r="C437" s="182"/>
      <c r="D437" s="182"/>
      <c r="E437" s="182"/>
      <c r="F437" s="182"/>
      <c r="G437" s="182"/>
    </row>
    <row r="438" spans="1:7" x14ac:dyDescent="0.2">
      <c r="A438" s="182"/>
      <c r="B438" s="182"/>
      <c r="C438" s="182"/>
      <c r="D438" s="182"/>
      <c r="E438" s="182"/>
      <c r="F438" s="182"/>
      <c r="G438" s="182"/>
    </row>
    <row r="439" spans="1:7" x14ac:dyDescent="0.2">
      <c r="A439" s="182"/>
      <c r="B439" s="182"/>
      <c r="C439" s="182"/>
      <c r="D439" s="182"/>
      <c r="E439" s="182"/>
      <c r="F439" s="182"/>
      <c r="G439" s="182"/>
    </row>
    <row r="440" spans="1:7" x14ac:dyDescent="0.2">
      <c r="A440" s="182"/>
      <c r="B440" s="182"/>
      <c r="C440" s="182"/>
      <c r="D440" s="182"/>
      <c r="E440" s="182"/>
      <c r="F440" s="182"/>
      <c r="G440" s="182"/>
    </row>
    <row r="441" spans="1:7" x14ac:dyDescent="0.2">
      <c r="A441" s="182"/>
      <c r="B441" s="182"/>
      <c r="C441" s="182"/>
      <c r="D441" s="182"/>
      <c r="E441" s="182"/>
      <c r="F441" s="182"/>
      <c r="G441" s="182"/>
    </row>
    <row r="442" spans="1:7" x14ac:dyDescent="0.2">
      <c r="A442" s="182"/>
      <c r="B442" s="182"/>
      <c r="C442" s="182"/>
      <c r="D442" s="182"/>
      <c r="E442" s="182"/>
      <c r="F442" s="182"/>
      <c r="G442" s="182"/>
    </row>
    <row r="443" spans="1:7" x14ac:dyDescent="0.2">
      <c r="A443" s="182"/>
      <c r="B443" s="182"/>
      <c r="C443" s="182"/>
      <c r="D443" s="182"/>
      <c r="E443" s="182"/>
      <c r="F443" s="182"/>
      <c r="G443" s="182"/>
    </row>
    <row r="444" spans="1:7" x14ac:dyDescent="0.2">
      <c r="A444" s="182"/>
      <c r="B444" s="182"/>
      <c r="C444" s="182"/>
      <c r="D444" s="182"/>
      <c r="E444" s="182"/>
      <c r="F444" s="182"/>
      <c r="G444" s="182"/>
    </row>
    <row r="445" spans="1:7" x14ac:dyDescent="0.2">
      <c r="A445" s="182"/>
      <c r="B445" s="182"/>
      <c r="C445" s="182"/>
      <c r="D445" s="182"/>
      <c r="E445" s="182"/>
      <c r="F445" s="182"/>
      <c r="G445" s="182"/>
    </row>
    <row r="446" spans="1:7" x14ac:dyDescent="0.2">
      <c r="A446" s="182"/>
      <c r="B446" s="182"/>
      <c r="C446" s="182"/>
      <c r="D446" s="182"/>
      <c r="E446" s="182"/>
      <c r="F446" s="182"/>
      <c r="G446" s="182"/>
    </row>
    <row r="447" spans="1:7" x14ac:dyDescent="0.2">
      <c r="A447" s="182"/>
      <c r="B447" s="182"/>
      <c r="C447" s="182"/>
      <c r="D447" s="182"/>
      <c r="E447" s="182"/>
      <c r="F447" s="182"/>
      <c r="G447" s="182"/>
    </row>
    <row r="448" spans="1:7" x14ac:dyDescent="0.2">
      <c r="A448" s="182"/>
      <c r="B448" s="182"/>
      <c r="C448" s="182"/>
      <c r="D448" s="182"/>
      <c r="E448" s="182"/>
      <c r="F448" s="182"/>
      <c r="G448" s="182"/>
    </row>
    <row r="449" spans="1:7" x14ac:dyDescent="0.2">
      <c r="A449" s="182"/>
      <c r="B449" s="182"/>
      <c r="C449" s="182"/>
      <c r="D449" s="182"/>
      <c r="E449" s="182"/>
      <c r="F449" s="182"/>
      <c r="G449" s="182"/>
    </row>
    <row r="450" spans="1:7" x14ac:dyDescent="0.2">
      <c r="A450" s="182"/>
      <c r="B450" s="182"/>
      <c r="C450" s="182"/>
      <c r="D450" s="182"/>
      <c r="E450" s="182"/>
      <c r="F450" s="182"/>
      <c r="G450" s="182"/>
    </row>
    <row r="451" spans="1:7" x14ac:dyDescent="0.2">
      <c r="A451" s="182"/>
      <c r="B451" s="182"/>
      <c r="C451" s="182"/>
      <c r="D451" s="182"/>
      <c r="E451" s="182"/>
      <c r="F451" s="182"/>
      <c r="G451" s="182"/>
    </row>
    <row r="452" spans="1:7" x14ac:dyDescent="0.2">
      <c r="A452" s="182"/>
      <c r="B452" s="182"/>
      <c r="C452" s="182"/>
      <c r="D452" s="182"/>
      <c r="E452" s="182"/>
      <c r="F452" s="182"/>
      <c r="G452" s="182"/>
    </row>
    <row r="453" spans="1:7" x14ac:dyDescent="0.2">
      <c r="A453" s="182"/>
      <c r="B453" s="182"/>
      <c r="C453" s="182"/>
      <c r="D453" s="182"/>
      <c r="E453" s="182"/>
      <c r="F453" s="182"/>
      <c r="G453" s="182"/>
    </row>
    <row r="454" spans="1:7" x14ac:dyDescent="0.2">
      <c r="A454" s="182"/>
      <c r="B454" s="182"/>
      <c r="C454" s="182"/>
      <c r="D454" s="182"/>
      <c r="E454" s="182"/>
      <c r="F454" s="182"/>
      <c r="G454" s="182"/>
    </row>
    <row r="455" spans="1:7" x14ac:dyDescent="0.2">
      <c r="A455" s="182"/>
      <c r="B455" s="182"/>
      <c r="C455" s="182"/>
      <c r="D455" s="182"/>
      <c r="E455" s="182"/>
      <c r="F455" s="182"/>
      <c r="G455" s="182"/>
    </row>
    <row r="456" spans="1:7" x14ac:dyDescent="0.2">
      <c r="A456" s="182"/>
      <c r="B456" s="182"/>
      <c r="C456" s="182"/>
      <c r="D456" s="182"/>
      <c r="E456" s="182"/>
      <c r="F456" s="182"/>
      <c r="G456" s="182"/>
    </row>
    <row r="457" spans="1:7" x14ac:dyDescent="0.2">
      <c r="A457" s="182"/>
      <c r="B457" s="182"/>
      <c r="C457" s="182"/>
      <c r="D457" s="182"/>
      <c r="E457" s="182"/>
      <c r="F457" s="182"/>
      <c r="G457" s="182"/>
    </row>
    <row r="458" spans="1:7" x14ac:dyDescent="0.2">
      <c r="A458" s="182"/>
      <c r="B458" s="182"/>
      <c r="C458" s="182"/>
      <c r="D458" s="182"/>
      <c r="E458" s="182"/>
      <c r="F458" s="182"/>
      <c r="G458" s="182"/>
    </row>
    <row r="459" spans="1:7" x14ac:dyDescent="0.2">
      <c r="A459" s="182"/>
      <c r="B459" s="182"/>
      <c r="C459" s="182"/>
      <c r="D459" s="182"/>
      <c r="E459" s="182"/>
      <c r="F459" s="182"/>
      <c r="G459" s="182"/>
    </row>
    <row r="460" spans="1:7" x14ac:dyDescent="0.2">
      <c r="A460" s="182"/>
      <c r="B460" s="182"/>
      <c r="C460" s="182"/>
      <c r="D460" s="182"/>
      <c r="E460" s="182"/>
      <c r="F460" s="182"/>
      <c r="G460" s="182"/>
    </row>
    <row r="461" spans="1:7" x14ac:dyDescent="0.2">
      <c r="A461" s="182"/>
      <c r="B461" s="182"/>
      <c r="C461" s="182"/>
      <c r="D461" s="182"/>
      <c r="E461" s="182"/>
      <c r="F461" s="182"/>
      <c r="G461" s="182"/>
    </row>
    <row r="462" spans="1:7" x14ac:dyDescent="0.2">
      <c r="A462" s="182"/>
      <c r="B462" s="182"/>
      <c r="C462" s="182"/>
      <c r="D462" s="182"/>
      <c r="E462" s="182"/>
      <c r="F462" s="182"/>
      <c r="G462" s="182"/>
    </row>
    <row r="463" spans="1:7" x14ac:dyDescent="0.2">
      <c r="A463" s="182"/>
      <c r="B463" s="182"/>
      <c r="C463" s="182"/>
      <c r="D463" s="182"/>
      <c r="E463" s="182"/>
      <c r="F463" s="182"/>
      <c r="G463" s="182"/>
    </row>
    <row r="464" spans="1:7" x14ac:dyDescent="0.2">
      <c r="A464" s="182"/>
      <c r="B464" s="182"/>
      <c r="C464" s="182"/>
      <c r="D464" s="182"/>
      <c r="E464" s="182"/>
      <c r="F464" s="182"/>
      <c r="G464" s="182"/>
    </row>
    <row r="465" spans="1:7" x14ac:dyDescent="0.2">
      <c r="A465" s="182"/>
      <c r="B465" s="182"/>
      <c r="C465" s="182"/>
      <c r="D465" s="182"/>
      <c r="E465" s="182"/>
      <c r="F465" s="182"/>
      <c r="G465" s="182"/>
    </row>
    <row r="466" spans="1:7" x14ac:dyDescent="0.2">
      <c r="A466" s="182"/>
      <c r="B466" s="182"/>
      <c r="C466" s="182"/>
      <c r="D466" s="182"/>
      <c r="E466" s="182"/>
      <c r="F466" s="182"/>
      <c r="G466" s="182"/>
    </row>
    <row r="467" spans="1:7" x14ac:dyDescent="0.2">
      <c r="A467" s="182"/>
      <c r="B467" s="182"/>
      <c r="C467" s="182"/>
      <c r="D467" s="182"/>
      <c r="E467" s="182"/>
      <c r="F467" s="182"/>
      <c r="G467" s="182"/>
    </row>
    <row r="468" spans="1:7" x14ac:dyDescent="0.2">
      <c r="A468" s="182"/>
      <c r="B468" s="182"/>
      <c r="C468" s="182"/>
      <c r="D468" s="182"/>
      <c r="E468" s="182"/>
      <c r="F468" s="182"/>
      <c r="G468" s="182"/>
    </row>
    <row r="469" spans="1:7" x14ac:dyDescent="0.2">
      <c r="A469" s="182"/>
      <c r="B469" s="182"/>
      <c r="C469" s="182"/>
      <c r="D469" s="182"/>
      <c r="E469" s="182"/>
      <c r="F469" s="182"/>
      <c r="G469" s="182"/>
    </row>
    <row r="470" spans="1:7" x14ac:dyDescent="0.2">
      <c r="A470" s="182"/>
      <c r="B470" s="182"/>
      <c r="C470" s="182"/>
      <c r="D470" s="182"/>
      <c r="E470" s="182"/>
      <c r="F470" s="182"/>
      <c r="G470" s="182"/>
    </row>
    <row r="471" spans="1:7" x14ac:dyDescent="0.2">
      <c r="A471" s="182"/>
      <c r="B471" s="182"/>
      <c r="C471" s="182"/>
      <c r="D471" s="182"/>
      <c r="E471" s="182"/>
      <c r="F471" s="182"/>
      <c r="G471" s="182"/>
    </row>
    <row r="472" spans="1:7" x14ac:dyDescent="0.2">
      <c r="A472" s="182"/>
      <c r="B472" s="182"/>
      <c r="C472" s="182"/>
      <c r="D472" s="182"/>
      <c r="E472" s="182"/>
      <c r="F472" s="182"/>
      <c r="G472" s="182"/>
    </row>
    <row r="473" spans="1:7" x14ac:dyDescent="0.2">
      <c r="A473" s="182"/>
      <c r="B473" s="182"/>
      <c r="C473" s="182"/>
      <c r="D473" s="182"/>
      <c r="E473" s="182"/>
      <c r="F473" s="182"/>
      <c r="G473" s="182"/>
    </row>
    <row r="474" spans="1:7" x14ac:dyDescent="0.2">
      <c r="A474" s="182"/>
      <c r="B474" s="182"/>
      <c r="C474" s="182"/>
      <c r="D474" s="182"/>
      <c r="E474" s="182"/>
      <c r="F474" s="182"/>
      <c r="G474" s="182"/>
    </row>
    <row r="475" spans="1:7" x14ac:dyDescent="0.2">
      <c r="A475" s="182"/>
      <c r="B475" s="182"/>
      <c r="C475" s="182"/>
      <c r="D475" s="182"/>
      <c r="E475" s="182"/>
      <c r="F475" s="182"/>
      <c r="G475" s="182"/>
    </row>
    <row r="476" spans="1:7" x14ac:dyDescent="0.2">
      <c r="A476" s="182"/>
      <c r="B476" s="182"/>
      <c r="C476" s="182"/>
      <c r="D476" s="182"/>
      <c r="E476" s="182"/>
      <c r="F476" s="182"/>
      <c r="G476" s="182"/>
    </row>
    <row r="477" spans="1:7" x14ac:dyDescent="0.2">
      <c r="A477" s="182"/>
      <c r="B477" s="182"/>
      <c r="C477" s="182"/>
      <c r="D477" s="182"/>
      <c r="E477" s="182"/>
      <c r="F477" s="182"/>
      <c r="G477" s="182"/>
    </row>
    <row r="478" spans="1:7" x14ac:dyDescent="0.2">
      <c r="A478" s="182"/>
      <c r="B478" s="182"/>
      <c r="C478" s="182"/>
      <c r="D478" s="182"/>
      <c r="E478" s="182"/>
      <c r="F478" s="182"/>
      <c r="G478" s="182"/>
    </row>
    <row r="479" spans="1:7" x14ac:dyDescent="0.2">
      <c r="A479" s="182"/>
      <c r="B479" s="182"/>
      <c r="C479" s="182"/>
      <c r="D479" s="182"/>
      <c r="E479" s="182"/>
      <c r="F479" s="182"/>
      <c r="G479" s="182"/>
    </row>
    <row r="480" spans="1:7" x14ac:dyDescent="0.2">
      <c r="A480" s="182"/>
      <c r="B480" s="182"/>
      <c r="C480" s="182"/>
      <c r="D480" s="182"/>
      <c r="E480" s="182"/>
      <c r="F480" s="182"/>
      <c r="G480" s="182"/>
    </row>
    <row r="481" spans="1:7" x14ac:dyDescent="0.2">
      <c r="A481" s="182"/>
      <c r="B481" s="182"/>
      <c r="C481" s="182"/>
      <c r="D481" s="182"/>
      <c r="E481" s="182"/>
      <c r="F481" s="182"/>
      <c r="G481" s="182"/>
    </row>
    <row r="482" spans="1:7" x14ac:dyDescent="0.2">
      <c r="A482" s="182"/>
      <c r="B482" s="182"/>
      <c r="C482" s="182"/>
      <c r="D482" s="182"/>
      <c r="E482" s="182"/>
      <c r="F482" s="182"/>
      <c r="G482" s="182"/>
    </row>
    <row r="483" spans="1:7" x14ac:dyDescent="0.2">
      <c r="A483" s="182"/>
      <c r="B483" s="182"/>
      <c r="C483" s="182"/>
      <c r="D483" s="182"/>
      <c r="E483" s="182"/>
      <c r="F483" s="182"/>
      <c r="G483" s="182"/>
    </row>
    <row r="484" spans="1:7" x14ac:dyDescent="0.2">
      <c r="A484" s="182"/>
      <c r="B484" s="182"/>
      <c r="C484" s="182"/>
      <c r="D484" s="182"/>
      <c r="E484" s="182"/>
      <c r="F484" s="182"/>
      <c r="G484" s="182"/>
    </row>
    <row r="485" spans="1:7" x14ac:dyDescent="0.2">
      <c r="A485" s="182"/>
      <c r="B485" s="182"/>
      <c r="C485" s="182"/>
      <c r="D485" s="182"/>
      <c r="E485" s="182"/>
      <c r="F485" s="182"/>
      <c r="G485" s="182"/>
    </row>
    <row r="486" spans="1:7" x14ac:dyDescent="0.2">
      <c r="A486" s="182"/>
      <c r="B486" s="182"/>
      <c r="C486" s="182"/>
      <c r="D486" s="182"/>
      <c r="E486" s="182"/>
      <c r="F486" s="182"/>
      <c r="G486" s="182"/>
    </row>
    <row r="487" spans="1:7" x14ac:dyDescent="0.2">
      <c r="A487" s="182"/>
      <c r="B487" s="182"/>
      <c r="C487" s="182"/>
      <c r="D487" s="182"/>
      <c r="E487" s="182"/>
      <c r="F487" s="182"/>
      <c r="G487" s="182"/>
    </row>
    <row r="488" spans="1:7" x14ac:dyDescent="0.2">
      <c r="A488" s="182"/>
      <c r="B488" s="182"/>
      <c r="C488" s="182"/>
      <c r="D488" s="182"/>
      <c r="E488" s="182"/>
      <c r="F488" s="182"/>
      <c r="G488" s="182"/>
    </row>
    <row r="489" spans="1:7" x14ac:dyDescent="0.2">
      <c r="A489" s="182"/>
      <c r="B489" s="182"/>
      <c r="C489" s="182"/>
      <c r="D489" s="182"/>
      <c r="E489" s="182"/>
      <c r="F489" s="182"/>
      <c r="G489" s="182"/>
    </row>
    <row r="490" spans="1:7" x14ac:dyDescent="0.2">
      <c r="A490" s="182"/>
      <c r="B490" s="182"/>
      <c r="C490" s="182"/>
      <c r="D490" s="182"/>
      <c r="E490" s="182"/>
      <c r="F490" s="182"/>
      <c r="G490" s="182"/>
    </row>
    <row r="491" spans="1:7" x14ac:dyDescent="0.2">
      <c r="A491" s="182"/>
      <c r="B491" s="182"/>
      <c r="C491" s="182"/>
      <c r="D491" s="182"/>
      <c r="E491" s="182"/>
      <c r="F491" s="182"/>
      <c r="G491" s="182"/>
    </row>
    <row r="492" spans="1:7" x14ac:dyDescent="0.2">
      <c r="A492" s="182"/>
      <c r="B492" s="182"/>
      <c r="C492" s="182"/>
      <c r="D492" s="182"/>
      <c r="E492" s="182"/>
      <c r="F492" s="182"/>
      <c r="G492" s="182"/>
    </row>
    <row r="493" spans="1:7" x14ac:dyDescent="0.2">
      <c r="A493" s="182"/>
      <c r="B493" s="182"/>
      <c r="C493" s="182"/>
      <c r="D493" s="182"/>
      <c r="E493" s="182"/>
      <c r="F493" s="182"/>
      <c r="G493" s="182"/>
    </row>
    <row r="494" spans="1:7" x14ac:dyDescent="0.2">
      <c r="A494" s="182"/>
      <c r="B494" s="182"/>
      <c r="C494" s="182"/>
      <c r="D494" s="182"/>
      <c r="E494" s="182"/>
      <c r="F494" s="182"/>
      <c r="G494" s="182"/>
    </row>
    <row r="495" spans="1:7" x14ac:dyDescent="0.2">
      <c r="A495" s="182"/>
      <c r="B495" s="182"/>
      <c r="C495" s="182"/>
      <c r="D495" s="182"/>
      <c r="E495" s="182"/>
      <c r="F495" s="182"/>
      <c r="G495" s="182"/>
    </row>
    <row r="496" spans="1:7" x14ac:dyDescent="0.2">
      <c r="A496" s="182"/>
      <c r="B496" s="182"/>
      <c r="C496" s="182"/>
      <c r="D496" s="182"/>
      <c r="E496" s="182"/>
      <c r="F496" s="182"/>
      <c r="G496" s="182"/>
    </row>
    <row r="497" spans="1:7" x14ac:dyDescent="0.2">
      <c r="A497" s="182"/>
      <c r="B497" s="182"/>
      <c r="C497" s="182"/>
      <c r="D497" s="182"/>
      <c r="E497" s="182"/>
      <c r="F497" s="182"/>
      <c r="G497" s="182"/>
    </row>
    <row r="498" spans="1:7" x14ac:dyDescent="0.2">
      <c r="A498" s="182"/>
      <c r="B498" s="182"/>
      <c r="C498" s="182"/>
      <c r="D498" s="182"/>
      <c r="E498" s="182"/>
      <c r="F498" s="182"/>
      <c r="G498" s="182"/>
    </row>
    <row r="499" spans="1:7" x14ac:dyDescent="0.2">
      <c r="A499" s="182"/>
      <c r="B499" s="182"/>
      <c r="C499" s="182"/>
      <c r="D499" s="182"/>
      <c r="E499" s="182"/>
      <c r="F499" s="182"/>
      <c r="G499" s="182"/>
    </row>
    <row r="500" spans="1:7" x14ac:dyDescent="0.2">
      <c r="A500" s="182"/>
      <c r="B500" s="182"/>
      <c r="C500" s="182"/>
      <c r="D500" s="182"/>
      <c r="E500" s="182"/>
      <c r="F500" s="182"/>
      <c r="G500" s="182"/>
    </row>
    <row r="501" spans="1:7" x14ac:dyDescent="0.2">
      <c r="A501" s="182"/>
      <c r="B501" s="182"/>
      <c r="C501" s="182"/>
      <c r="D501" s="182"/>
      <c r="E501" s="182"/>
      <c r="F501" s="182"/>
      <c r="G501" s="182"/>
    </row>
  </sheetData>
  <mergeCells count="5">
    <mergeCell ref="F1:G2"/>
    <mergeCell ref="C5:E5"/>
    <mergeCell ref="C1:E2"/>
    <mergeCell ref="C3:E3"/>
    <mergeCell ref="C4:E4"/>
  </mergeCells>
  <pageMargins left="0.62992125984251968" right="0.62992125984251968" top="0.78740157480314965" bottom="0.59055118110236227" header="0.39370078740157483" footer="0.31496062992125984"/>
  <pageSetup orientation="portrait" horizontalDpi="4294967294" r:id="rId1"/>
  <headerFooter>
    <oddHeader>&amp;RPage &amp;P of &amp;N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9">
    <tabColor rgb="FF7030A0"/>
  </sheetPr>
  <dimension ref="A1:Q32"/>
  <sheetViews>
    <sheetView view="pageLayout" zoomScale="130" zoomScaleNormal="100" zoomScalePageLayoutView="130" workbookViewId="0">
      <selection activeCell="C1" sqref="C1:F2"/>
    </sheetView>
  </sheetViews>
  <sheetFormatPr defaultRowHeight="12.75" x14ac:dyDescent="0.2"/>
  <cols>
    <col min="1" max="1" width="8.85546875" style="199" customWidth="1"/>
    <col min="2" max="2" width="9.7109375" style="199" customWidth="1"/>
    <col min="3" max="3" width="25" style="201" customWidth="1"/>
    <col min="4" max="4" width="11.7109375" style="206" customWidth="1"/>
    <col min="5" max="5" width="8.7109375" style="206" customWidth="1"/>
    <col min="6" max="7" width="8.5703125" style="206" customWidth="1"/>
    <col min="8" max="8" width="11.7109375" style="206" customWidth="1"/>
    <col min="9" max="16384" width="9.140625" style="188"/>
  </cols>
  <sheetData>
    <row r="1" spans="1:17" ht="15" customHeight="1" x14ac:dyDescent="0.4">
      <c r="A1" s="185"/>
      <c r="B1" s="186"/>
      <c r="C1" s="654" t="s">
        <v>335</v>
      </c>
      <c r="D1" s="654"/>
      <c r="E1" s="654"/>
      <c r="F1" s="654"/>
      <c r="G1" s="656" t="s">
        <v>74</v>
      </c>
      <c r="H1" s="657"/>
      <c r="I1" s="187"/>
      <c r="J1" s="187"/>
      <c r="K1" s="187"/>
      <c r="L1" s="187"/>
      <c r="M1" s="187"/>
      <c r="N1" s="187"/>
      <c r="O1" s="187"/>
      <c r="P1" s="187"/>
      <c r="Q1" s="187"/>
    </row>
    <row r="2" spans="1:17" ht="15" customHeight="1" x14ac:dyDescent="0.4">
      <c r="A2" s="189"/>
      <c r="B2" s="179"/>
      <c r="C2" s="655"/>
      <c r="D2" s="655"/>
      <c r="E2" s="655"/>
      <c r="F2" s="655"/>
      <c r="G2" s="658"/>
      <c r="H2" s="659"/>
      <c r="I2" s="187"/>
      <c r="J2" s="187"/>
      <c r="K2" s="187"/>
      <c r="L2" s="187"/>
      <c r="M2" s="187"/>
      <c r="N2" s="187"/>
      <c r="O2" s="187"/>
      <c r="P2" s="187"/>
      <c r="Q2" s="187"/>
    </row>
    <row r="3" spans="1:17" ht="10.5" customHeight="1" x14ac:dyDescent="0.2">
      <c r="A3" s="190"/>
      <c r="B3" s="138"/>
      <c r="C3" s="539" t="s">
        <v>336</v>
      </c>
      <c r="D3" s="539"/>
      <c r="E3" s="539"/>
      <c r="F3" s="539"/>
      <c r="G3" s="180" t="s">
        <v>113</v>
      </c>
      <c r="H3" s="184">
        <v>43132</v>
      </c>
      <c r="I3" s="191"/>
      <c r="J3" s="191"/>
      <c r="K3" s="191"/>
      <c r="L3" s="191"/>
      <c r="M3" s="191"/>
      <c r="N3" s="191"/>
      <c r="O3" s="191"/>
      <c r="P3" s="191"/>
      <c r="Q3" s="191"/>
    </row>
    <row r="4" spans="1:17" ht="11.25" customHeight="1" x14ac:dyDescent="0.2">
      <c r="A4" s="190"/>
      <c r="B4" s="138"/>
      <c r="C4" s="539" t="s">
        <v>333</v>
      </c>
      <c r="D4" s="539"/>
      <c r="E4" s="539"/>
      <c r="F4" s="539"/>
      <c r="G4" s="180" t="s">
        <v>112</v>
      </c>
      <c r="H4" s="184">
        <v>43159</v>
      </c>
      <c r="I4" s="191"/>
      <c r="J4" s="191"/>
      <c r="K4" s="191"/>
      <c r="L4" s="191"/>
      <c r="M4" s="191"/>
      <c r="N4" s="191"/>
      <c r="O4" s="191"/>
      <c r="P4" s="191"/>
      <c r="Q4" s="191"/>
    </row>
    <row r="5" spans="1:17" ht="12" customHeight="1" x14ac:dyDescent="0.2">
      <c r="A5" s="192"/>
      <c r="B5" s="163"/>
      <c r="C5" s="542" t="s">
        <v>334</v>
      </c>
      <c r="D5" s="542"/>
      <c r="E5" s="542"/>
      <c r="F5" s="542"/>
      <c r="G5" s="192"/>
      <c r="H5" s="193"/>
      <c r="I5" s="194"/>
      <c r="J5" s="194"/>
      <c r="K5" s="194"/>
      <c r="L5" s="194"/>
      <c r="M5" s="194"/>
      <c r="N5" s="194"/>
      <c r="O5" s="194"/>
      <c r="P5" s="194"/>
      <c r="Q5" s="194"/>
    </row>
    <row r="6" spans="1:17" s="198" customFormat="1" ht="25.5" x14ac:dyDescent="0.2">
      <c r="A6" s="195" t="s">
        <v>64</v>
      </c>
      <c r="B6" s="195" t="s">
        <v>57</v>
      </c>
      <c r="C6" s="195" t="s">
        <v>65</v>
      </c>
      <c r="D6" s="196" t="s">
        <v>66</v>
      </c>
      <c r="E6" s="196" t="s">
        <v>5</v>
      </c>
      <c r="F6" s="197" t="s">
        <v>6</v>
      </c>
      <c r="G6" s="196" t="s">
        <v>72</v>
      </c>
      <c r="H6" s="196" t="s">
        <v>19</v>
      </c>
    </row>
    <row r="7" spans="1:17" s="432" customFormat="1" x14ac:dyDescent="0.2">
      <c r="A7" s="434"/>
      <c r="B7" s="436"/>
      <c r="C7" s="435"/>
      <c r="D7" s="461"/>
      <c r="E7" s="461"/>
      <c r="F7" s="461"/>
      <c r="G7" s="461"/>
      <c r="H7" s="461"/>
      <c r="I7" s="433"/>
    </row>
    <row r="8" spans="1:17" s="432" customFormat="1" x14ac:dyDescent="0.2">
      <c r="A8" s="434"/>
      <c r="B8" s="436"/>
      <c r="C8" s="435"/>
      <c r="D8" s="461"/>
      <c r="E8" s="461"/>
      <c r="F8" s="461"/>
      <c r="G8" s="461"/>
      <c r="H8" s="461"/>
      <c r="I8" s="433"/>
    </row>
    <row r="9" spans="1:17" s="432" customFormat="1" x14ac:dyDescent="0.2">
      <c r="A9" s="434"/>
      <c r="B9" s="436"/>
      <c r="C9" s="435"/>
      <c r="D9" s="461"/>
      <c r="E9" s="461"/>
      <c r="F9" s="461"/>
      <c r="G9" s="461"/>
      <c r="H9" s="461"/>
      <c r="I9" s="433"/>
    </row>
    <row r="10" spans="1:17" s="432" customFormat="1" x14ac:dyDescent="0.2">
      <c r="A10" s="434"/>
      <c r="B10" s="436"/>
      <c r="C10" s="435"/>
      <c r="D10" s="461"/>
      <c r="E10" s="461"/>
      <c r="F10" s="461"/>
      <c r="G10" s="461"/>
      <c r="H10" s="461"/>
      <c r="I10" s="433"/>
    </row>
    <row r="11" spans="1:17" s="432" customFormat="1" x14ac:dyDescent="0.2">
      <c r="A11" s="434"/>
      <c r="B11" s="436"/>
      <c r="C11" s="435"/>
      <c r="D11" s="461"/>
      <c r="E11" s="461"/>
      <c r="F11" s="461"/>
      <c r="G11" s="461"/>
      <c r="H11" s="461"/>
      <c r="I11" s="433"/>
    </row>
    <row r="12" spans="1:17" s="432" customFormat="1" x14ac:dyDescent="0.2">
      <c r="A12" s="434"/>
      <c r="B12" s="436"/>
      <c r="C12" s="435"/>
      <c r="D12" s="461"/>
      <c r="E12" s="461"/>
      <c r="F12" s="461"/>
      <c r="G12" s="461"/>
      <c r="H12" s="461"/>
      <c r="I12" s="433"/>
    </row>
    <row r="13" spans="1:17" s="432" customFormat="1" x14ac:dyDescent="0.2">
      <c r="A13" s="434"/>
      <c r="B13" s="436"/>
      <c r="C13" s="435"/>
      <c r="D13" s="461"/>
      <c r="E13" s="461"/>
      <c r="F13" s="461"/>
      <c r="G13" s="461"/>
      <c r="H13" s="461"/>
      <c r="I13" s="433"/>
    </row>
    <row r="14" spans="1:17" s="432" customFormat="1" x14ac:dyDescent="0.2">
      <c r="A14" s="434"/>
      <c r="B14" s="436"/>
      <c r="C14" s="435"/>
      <c r="D14" s="461"/>
      <c r="E14" s="461"/>
      <c r="F14" s="461"/>
      <c r="G14" s="461"/>
      <c r="H14" s="461"/>
      <c r="I14" s="433"/>
    </row>
    <row r="15" spans="1:17" s="432" customFormat="1" x14ac:dyDescent="0.2">
      <c r="A15" s="434"/>
      <c r="B15" s="436"/>
      <c r="C15" s="435"/>
      <c r="D15" s="461"/>
      <c r="E15" s="461"/>
      <c r="F15" s="461"/>
      <c r="G15" s="461"/>
      <c r="H15" s="461"/>
      <c r="I15" s="433"/>
    </row>
    <row r="16" spans="1:17" s="432" customFormat="1" x14ac:dyDescent="0.2">
      <c r="A16" s="434"/>
      <c r="B16" s="436"/>
      <c r="C16" s="435"/>
      <c r="D16" s="461"/>
      <c r="E16" s="461"/>
      <c r="F16" s="461"/>
      <c r="G16" s="461"/>
      <c r="H16" s="461"/>
      <c r="I16" s="433"/>
    </row>
    <row r="17" spans="1:10" s="432" customFormat="1" x14ac:dyDescent="0.2">
      <c r="A17" s="434"/>
      <c r="B17" s="436"/>
      <c r="C17" s="435"/>
      <c r="D17" s="461"/>
      <c r="E17" s="461"/>
      <c r="F17" s="461"/>
      <c r="G17" s="461"/>
      <c r="H17" s="461"/>
      <c r="I17" s="433"/>
    </row>
    <row r="18" spans="1:10" s="432" customFormat="1" x14ac:dyDescent="0.2">
      <c r="A18" s="434"/>
      <c r="B18" s="436"/>
      <c r="C18" s="435"/>
      <c r="D18" s="461"/>
      <c r="E18" s="461"/>
      <c r="F18" s="461"/>
      <c r="G18" s="461"/>
      <c r="H18" s="461"/>
      <c r="I18" s="433"/>
    </row>
    <row r="19" spans="1:10" s="432" customFormat="1" x14ac:dyDescent="0.2">
      <c r="A19" s="434"/>
      <c r="B19" s="436"/>
      <c r="C19" s="435"/>
      <c r="D19" s="461"/>
      <c r="E19" s="461"/>
      <c r="F19" s="461"/>
      <c r="G19" s="461"/>
      <c r="H19" s="461"/>
      <c r="I19" s="433"/>
    </row>
    <row r="20" spans="1:10" s="432" customFormat="1" x14ac:dyDescent="0.2">
      <c r="A20" s="434"/>
      <c r="B20" s="436"/>
      <c r="C20" s="435"/>
      <c r="D20" s="461"/>
      <c r="E20" s="461"/>
      <c r="F20" s="461"/>
      <c r="G20" s="461"/>
      <c r="H20" s="461"/>
      <c r="I20" s="433"/>
    </row>
    <row r="21" spans="1:10" s="432" customFormat="1" x14ac:dyDescent="0.2">
      <c r="A21" s="434"/>
      <c r="B21" s="436"/>
      <c r="C21" s="435"/>
      <c r="D21" s="461"/>
      <c r="E21" s="461"/>
      <c r="F21" s="461"/>
      <c r="G21" s="461"/>
      <c r="H21" s="461"/>
      <c r="I21" s="433"/>
    </row>
    <row r="22" spans="1:10" s="432" customFormat="1" x14ac:dyDescent="0.2">
      <c r="A22" s="434"/>
      <c r="B22" s="436"/>
      <c r="C22" s="435"/>
      <c r="D22" s="461"/>
      <c r="E22" s="461"/>
      <c r="F22" s="461"/>
      <c r="G22" s="461"/>
      <c r="H22" s="461"/>
      <c r="I22" s="433"/>
    </row>
    <row r="23" spans="1:10" s="202" customFormat="1" x14ac:dyDescent="0.2">
      <c r="A23" s="199"/>
      <c r="B23" s="200"/>
      <c r="C23" s="205"/>
      <c r="D23" s="204"/>
      <c r="E23" s="204"/>
      <c r="F23" s="204"/>
      <c r="G23" s="204"/>
      <c r="H23" s="204"/>
      <c r="I23" s="188"/>
    </row>
    <row r="24" spans="1:10" s="202" customFormat="1" x14ac:dyDescent="0.2">
      <c r="A24" s="199"/>
      <c r="B24" s="200"/>
      <c r="C24" s="201"/>
      <c r="D24" s="206"/>
      <c r="E24" s="431"/>
      <c r="F24" s="431"/>
      <c r="G24" s="431"/>
      <c r="H24" s="431"/>
      <c r="I24" s="188"/>
    </row>
    <row r="25" spans="1:10" s="202" customFormat="1" x14ac:dyDescent="0.2">
      <c r="A25" s="199"/>
      <c r="B25" s="200"/>
      <c r="C25" s="455"/>
      <c r="D25" s="454"/>
      <c r="E25" s="454"/>
      <c r="F25" s="454"/>
      <c r="G25" s="454"/>
      <c r="H25" s="454"/>
      <c r="I25" s="188"/>
    </row>
    <row r="26" spans="1:10" s="202" customFormat="1" x14ac:dyDescent="0.2">
      <c r="A26" s="199"/>
      <c r="B26" s="200"/>
      <c r="C26" s="201"/>
      <c r="D26" s="206"/>
      <c r="E26" s="206"/>
      <c r="F26" s="206"/>
      <c r="G26" s="206"/>
      <c r="H26" s="206"/>
      <c r="I26" s="188"/>
    </row>
    <row r="27" spans="1:10" s="202" customFormat="1" x14ac:dyDescent="0.2">
      <c r="A27" s="199"/>
      <c r="B27" s="200"/>
      <c r="C27" s="201"/>
      <c r="D27" s="206"/>
      <c r="E27" s="206"/>
      <c r="F27" s="206"/>
      <c r="G27" s="206"/>
      <c r="H27" s="206"/>
      <c r="I27" s="188"/>
    </row>
    <row r="28" spans="1:10" s="202" customFormat="1" x14ac:dyDescent="0.2">
      <c r="A28" s="199"/>
      <c r="B28" s="200"/>
      <c r="C28" s="201"/>
      <c r="D28" s="206"/>
      <c r="E28" s="206"/>
      <c r="F28" s="206"/>
      <c r="G28" s="206"/>
      <c r="H28" s="206"/>
      <c r="I28" s="188"/>
    </row>
    <row r="29" spans="1:10" s="202" customFormat="1" x14ac:dyDescent="0.2">
      <c r="A29" s="199"/>
      <c r="B29" s="200"/>
      <c r="C29" s="201"/>
      <c r="D29" s="206"/>
      <c r="E29" s="206"/>
      <c r="F29" s="206"/>
      <c r="G29" s="206"/>
      <c r="H29" s="206"/>
      <c r="I29" s="188"/>
      <c r="J29" s="203"/>
    </row>
    <row r="30" spans="1:10" s="202" customFormat="1" x14ac:dyDescent="0.2">
      <c r="A30" s="199"/>
      <c r="B30" s="200"/>
      <c r="C30" s="201"/>
      <c r="D30" s="206"/>
      <c r="E30" s="206"/>
      <c r="F30" s="206"/>
      <c r="G30" s="206"/>
      <c r="H30" s="206"/>
      <c r="I30" s="188"/>
    </row>
    <row r="32" spans="1:10" x14ac:dyDescent="0.2">
      <c r="D32" s="204"/>
      <c r="E32" s="204"/>
      <c r="F32" s="204"/>
      <c r="G32" s="204"/>
      <c r="H32" s="204"/>
    </row>
  </sheetData>
  <mergeCells count="5">
    <mergeCell ref="C3:F3"/>
    <mergeCell ref="C4:F4"/>
    <mergeCell ref="C1:F2"/>
    <mergeCell ref="C5:F5"/>
    <mergeCell ref="G1:H2"/>
  </mergeCells>
  <pageMargins left="0.63725490196078427" right="0.55147058823529416" top="0.74803149606299213" bottom="0.86538461538461542" header="0.51041666666666663" footer="0.41666666666666669"/>
  <pageSetup orientation="portrait" horizontalDpi="4294967294" r:id="rId1"/>
  <headerFooter>
    <oddHeader xml:space="preserve">&amp;RPage &amp;P of &amp;N     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1">
    <tabColor rgb="FF7030A0"/>
  </sheetPr>
  <dimension ref="A1:L14"/>
  <sheetViews>
    <sheetView topLeftCell="B1" zoomScale="70" zoomScaleNormal="70" workbookViewId="0">
      <selection sqref="A1:XFD1"/>
    </sheetView>
  </sheetViews>
  <sheetFormatPr defaultRowHeight="15" x14ac:dyDescent="0.25"/>
  <cols>
    <col min="1" max="1" width="19.140625" bestFit="1" customWidth="1"/>
    <col min="2" max="2" width="29.5703125" customWidth="1"/>
    <col min="3" max="3" width="9.140625" customWidth="1"/>
    <col min="4" max="4" width="10.140625" customWidth="1"/>
    <col min="5" max="5" width="10.28515625" bestFit="1" customWidth="1"/>
    <col min="6" max="6" width="14.7109375" bestFit="1" customWidth="1"/>
    <col min="7" max="7" width="12.28515625" bestFit="1" customWidth="1"/>
    <col min="8" max="8" width="12" bestFit="1" customWidth="1"/>
    <col min="9" max="9" width="19.140625" bestFit="1" customWidth="1"/>
    <col min="10" max="10" width="9.140625" customWidth="1"/>
    <col min="11" max="12" width="8.5703125" customWidth="1"/>
    <col min="15" max="15" width="25.42578125" customWidth="1"/>
  </cols>
  <sheetData>
    <row r="1" spans="1:12" x14ac:dyDescent="0.25">
      <c r="A1" t="s">
        <v>180</v>
      </c>
      <c r="B1" t="s">
        <v>181</v>
      </c>
      <c r="C1" t="s">
        <v>296</v>
      </c>
      <c r="D1" t="s">
        <v>297</v>
      </c>
      <c r="E1" t="s">
        <v>298</v>
      </c>
      <c r="F1" t="s">
        <v>182</v>
      </c>
      <c r="G1" t="s">
        <v>184</v>
      </c>
      <c r="H1" t="s">
        <v>186</v>
      </c>
      <c r="I1" t="s">
        <v>299</v>
      </c>
      <c r="J1" t="s">
        <v>4</v>
      </c>
      <c r="K1" t="s">
        <v>179</v>
      </c>
      <c r="L1" t="s">
        <v>189</v>
      </c>
    </row>
    <row r="2" spans="1:12" s="399" customFormat="1" ht="12.75" x14ac:dyDescent="0.2">
      <c r="A2" s="395" t="s">
        <v>70</v>
      </c>
      <c r="B2" s="395" t="s">
        <v>176</v>
      </c>
      <c r="C2" s="396">
        <v>1819</v>
      </c>
      <c r="D2" s="397">
        <v>43160</v>
      </c>
      <c r="E2" s="398">
        <v>7384.607</v>
      </c>
      <c r="F2" s="402" t="s">
        <v>183</v>
      </c>
      <c r="G2" s="398" t="s">
        <v>185</v>
      </c>
      <c r="H2" s="398" t="s">
        <v>187</v>
      </c>
      <c r="I2" s="398"/>
      <c r="J2" s="396">
        <v>18</v>
      </c>
      <c r="K2" s="398">
        <v>5454.3050000000003</v>
      </c>
      <c r="L2" s="398"/>
    </row>
    <row r="3" spans="1:12" s="399" customFormat="1" ht="12.75" x14ac:dyDescent="0.2">
      <c r="A3" s="395" t="s">
        <v>70</v>
      </c>
      <c r="B3" s="395" t="s">
        <v>176</v>
      </c>
      <c r="C3" s="396">
        <v>1819</v>
      </c>
      <c r="D3" s="397">
        <v>43160</v>
      </c>
      <c r="E3" s="398">
        <v>7384.607</v>
      </c>
      <c r="F3" s="402" t="s">
        <v>183</v>
      </c>
      <c r="G3" s="398" t="s">
        <v>185</v>
      </c>
      <c r="H3" s="398" t="s">
        <v>187</v>
      </c>
      <c r="I3" s="398"/>
      <c r="J3" s="396">
        <v>18</v>
      </c>
      <c r="K3" s="398">
        <v>6258.1409999999996</v>
      </c>
      <c r="L3" s="398"/>
    </row>
    <row r="4" spans="1:12" s="399" customFormat="1" ht="12.75" x14ac:dyDescent="0.2">
      <c r="A4" s="395" t="s">
        <v>70</v>
      </c>
      <c r="B4" s="395" t="s">
        <v>176</v>
      </c>
      <c r="C4" s="396">
        <v>1820</v>
      </c>
      <c r="D4" s="397">
        <v>43161</v>
      </c>
      <c r="E4" s="398">
        <v>12433.674000000001</v>
      </c>
      <c r="F4" s="402" t="s">
        <v>183</v>
      </c>
      <c r="G4" s="398" t="s">
        <v>185</v>
      </c>
      <c r="H4" s="398" t="s">
        <v>187</v>
      </c>
      <c r="I4" s="398"/>
      <c r="J4" s="396">
        <v>18</v>
      </c>
      <c r="K4" s="398">
        <v>10537.012000000001</v>
      </c>
      <c r="L4" s="398"/>
    </row>
    <row r="5" spans="1:12" s="399" customFormat="1" ht="12.75" x14ac:dyDescent="0.2">
      <c r="A5" s="395" t="s">
        <v>70</v>
      </c>
      <c r="B5" s="395" t="s">
        <v>176</v>
      </c>
      <c r="C5" s="396">
        <v>1821</v>
      </c>
      <c r="D5" s="397">
        <v>43161</v>
      </c>
      <c r="E5" s="398">
        <v>17180.022000000001</v>
      </c>
      <c r="F5" s="402" t="s">
        <v>183</v>
      </c>
      <c r="G5" s="398" t="s">
        <v>185</v>
      </c>
      <c r="H5" s="398" t="s">
        <v>187</v>
      </c>
      <c r="I5" s="398"/>
      <c r="J5" s="396">
        <v>12</v>
      </c>
      <c r="K5" s="398">
        <v>1537.499</v>
      </c>
      <c r="L5" s="398"/>
    </row>
    <row r="6" spans="1:12" s="399" customFormat="1" ht="12.75" x14ac:dyDescent="0.2">
      <c r="A6" s="395" t="s">
        <v>70</v>
      </c>
      <c r="B6" s="395" t="s">
        <v>176</v>
      </c>
      <c r="C6" s="396">
        <v>1821</v>
      </c>
      <c r="D6" s="397">
        <v>43161</v>
      </c>
      <c r="E6" s="398">
        <v>17180.022000000001</v>
      </c>
      <c r="F6" s="402" t="s">
        <v>183</v>
      </c>
      <c r="G6" s="398" t="s">
        <v>185</v>
      </c>
      <c r="H6" s="398" t="s">
        <v>187</v>
      </c>
      <c r="I6" s="398"/>
      <c r="J6" s="396">
        <v>18</v>
      </c>
      <c r="K6" s="398">
        <v>13100.017</v>
      </c>
      <c r="L6" s="398"/>
    </row>
    <row r="7" spans="1:12" s="399" customFormat="1" ht="12.75" x14ac:dyDescent="0.2">
      <c r="A7" s="395" t="s">
        <v>70</v>
      </c>
      <c r="B7" s="395" t="s">
        <v>176</v>
      </c>
      <c r="C7" s="396">
        <v>1822</v>
      </c>
      <c r="D7" s="397">
        <v>43162</v>
      </c>
      <c r="E7" s="398">
        <v>5775.84</v>
      </c>
      <c r="F7" s="402" t="s">
        <v>183</v>
      </c>
      <c r="G7" s="398" t="s">
        <v>185</v>
      </c>
      <c r="H7" s="398" t="s">
        <v>187</v>
      </c>
      <c r="I7" s="398"/>
      <c r="J7" s="396">
        <v>18</v>
      </c>
      <c r="K7" s="398">
        <v>4894.78</v>
      </c>
      <c r="L7" s="398"/>
    </row>
    <row r="8" spans="1:12" s="399" customFormat="1" ht="12.75" x14ac:dyDescent="0.2">
      <c r="A8" s="395" t="s">
        <v>70</v>
      </c>
      <c r="B8" s="395" t="s">
        <v>176</v>
      </c>
      <c r="C8" s="396">
        <v>1822</v>
      </c>
      <c r="D8" s="397">
        <v>43162</v>
      </c>
      <c r="E8" s="398">
        <v>7781.76</v>
      </c>
      <c r="F8" s="402" t="s">
        <v>183</v>
      </c>
      <c r="G8" s="398" t="s">
        <v>185</v>
      </c>
      <c r="H8" s="398" t="s">
        <v>187</v>
      </c>
      <c r="I8" s="398"/>
      <c r="J8" s="396">
        <v>18</v>
      </c>
      <c r="K8" s="398">
        <v>6594.7120000000004</v>
      </c>
      <c r="L8" s="398"/>
    </row>
    <row r="9" spans="1:12" s="399" customFormat="1" ht="12.75" x14ac:dyDescent="0.2">
      <c r="A9" s="395" t="s">
        <v>70</v>
      </c>
      <c r="B9" s="395" t="s">
        <v>176</v>
      </c>
      <c r="C9" s="396">
        <v>1823</v>
      </c>
      <c r="D9" s="397">
        <v>43162</v>
      </c>
      <c r="E9" s="398">
        <v>11999.994000000001</v>
      </c>
      <c r="F9" s="402" t="s">
        <v>183</v>
      </c>
      <c r="G9" s="398" t="s">
        <v>185</v>
      </c>
      <c r="H9" s="398" t="s">
        <v>187</v>
      </c>
      <c r="I9" s="398"/>
      <c r="J9" s="396">
        <v>18</v>
      </c>
      <c r="K9" s="398">
        <v>10169.486000000001</v>
      </c>
      <c r="L9" s="398"/>
    </row>
    <row r="10" spans="1:12" s="399" customFormat="1" ht="12.75" x14ac:dyDescent="0.2">
      <c r="A10" s="395" t="s">
        <v>70</v>
      </c>
      <c r="B10" s="395" t="s">
        <v>176</v>
      </c>
      <c r="C10" s="396">
        <v>1824</v>
      </c>
      <c r="D10" s="397">
        <v>43164</v>
      </c>
      <c r="E10" s="398">
        <v>14548.218000000001</v>
      </c>
      <c r="F10" s="402" t="s">
        <v>183</v>
      </c>
      <c r="G10" s="398" t="s">
        <v>185</v>
      </c>
      <c r="H10" s="398" t="s">
        <v>187</v>
      </c>
      <c r="I10" s="398"/>
      <c r="J10" s="396">
        <v>18</v>
      </c>
      <c r="K10" s="398">
        <v>12328.998</v>
      </c>
      <c r="L10" s="398"/>
    </row>
    <row r="11" spans="1:12" s="399" customFormat="1" ht="12.75" x14ac:dyDescent="0.2">
      <c r="A11" s="395" t="s">
        <v>70</v>
      </c>
      <c r="B11" s="395" t="s">
        <v>176</v>
      </c>
      <c r="C11" s="396">
        <v>1825</v>
      </c>
      <c r="D11" s="397">
        <v>43164</v>
      </c>
      <c r="E11" s="398">
        <v>8065.2830000000004</v>
      </c>
      <c r="F11" s="402" t="s">
        <v>183</v>
      </c>
      <c r="G11" s="398" t="s">
        <v>185</v>
      </c>
      <c r="H11" s="398" t="s">
        <v>187</v>
      </c>
      <c r="I11" s="398"/>
      <c r="J11" s="396">
        <v>18</v>
      </c>
      <c r="K11" s="398">
        <v>6834.9870000000001</v>
      </c>
      <c r="L11" s="398"/>
    </row>
    <row r="12" spans="1:12" s="399" customFormat="1" ht="12.75" x14ac:dyDescent="0.2">
      <c r="A12" s="395" t="s">
        <v>70</v>
      </c>
      <c r="B12" s="395" t="s">
        <v>176</v>
      </c>
      <c r="C12" s="396">
        <v>1826</v>
      </c>
      <c r="D12" s="397">
        <v>43165</v>
      </c>
      <c r="E12" s="398">
        <v>11999.999</v>
      </c>
      <c r="F12" s="402" t="s">
        <v>183</v>
      </c>
      <c r="G12" s="398" t="s">
        <v>185</v>
      </c>
      <c r="H12" s="398" t="s">
        <v>187</v>
      </c>
      <c r="I12" s="398"/>
      <c r="J12" s="396">
        <v>18</v>
      </c>
      <c r="K12" s="398">
        <v>10169.491</v>
      </c>
      <c r="L12" s="398"/>
    </row>
    <row r="13" spans="1:12" s="399" customFormat="1" ht="12.75" x14ac:dyDescent="0.2">
      <c r="A13" s="395" t="s">
        <v>70</v>
      </c>
      <c r="B13" s="395" t="s">
        <v>176</v>
      </c>
      <c r="C13" s="396">
        <v>1827</v>
      </c>
      <c r="D13" s="397">
        <v>43165</v>
      </c>
      <c r="E13" s="398">
        <v>17942.403999999999</v>
      </c>
      <c r="F13" s="402" t="s">
        <v>183</v>
      </c>
      <c r="G13" s="398" t="s">
        <v>185</v>
      </c>
      <c r="H13" s="398" t="s">
        <v>187</v>
      </c>
      <c r="I13" s="398"/>
      <c r="J13" s="396">
        <v>18</v>
      </c>
      <c r="K13" s="398">
        <v>15205.425999999999</v>
      </c>
      <c r="L13" s="398"/>
    </row>
    <row r="14" spans="1:12" s="399" customFormat="1" ht="12.75" x14ac:dyDescent="0.2">
      <c r="A14" s="395" t="s">
        <v>174</v>
      </c>
      <c r="B14" s="395" t="s">
        <v>175</v>
      </c>
      <c r="C14" s="396">
        <v>1828</v>
      </c>
      <c r="D14" s="397">
        <v>43165</v>
      </c>
      <c r="E14" s="398">
        <v>6330.4380000000001</v>
      </c>
      <c r="F14" s="402" t="s">
        <v>183</v>
      </c>
      <c r="G14" s="398" t="s">
        <v>185</v>
      </c>
      <c r="H14" s="398" t="s">
        <v>187</v>
      </c>
      <c r="I14" s="398"/>
      <c r="J14" s="396">
        <v>18</v>
      </c>
      <c r="K14" s="398">
        <v>5364.7780000000002</v>
      </c>
      <c r="L14" s="398"/>
    </row>
  </sheetData>
  <pageMargins left="0.7" right="0.7" top="0.75" bottom="0.75" header="0.3" footer="0.3"/>
  <pageSetup orientation="portrait" horizontalDpi="4294967294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/>
  <dimension ref="A1"/>
  <sheetViews>
    <sheetView topLeftCell="A7" workbookViewId="0">
      <selection activeCell="M13" sqref="M13"/>
    </sheetView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>
    <tabColor rgb="FF7030A0"/>
  </sheetPr>
  <dimension ref="A1:Q32"/>
  <sheetViews>
    <sheetView showWhiteSpace="0" view="pageLayout" zoomScale="145" zoomScaleNormal="100" zoomScalePageLayoutView="145" workbookViewId="0">
      <selection activeCell="G20" sqref="G20"/>
    </sheetView>
  </sheetViews>
  <sheetFormatPr defaultRowHeight="12.75" x14ac:dyDescent="0.2"/>
  <cols>
    <col min="1" max="1" width="8.85546875" style="199" customWidth="1"/>
    <col min="2" max="2" width="9.7109375" style="199" customWidth="1"/>
    <col min="3" max="3" width="25" style="201" customWidth="1"/>
    <col min="4" max="4" width="11.7109375" style="206" customWidth="1"/>
    <col min="5" max="5" width="8.7109375" style="206" customWidth="1"/>
    <col min="6" max="7" width="8.5703125" style="206" customWidth="1"/>
    <col min="8" max="8" width="11.7109375" style="206" customWidth="1"/>
    <col min="9" max="16384" width="9.140625" style="188"/>
  </cols>
  <sheetData>
    <row r="1" spans="1:17" ht="15" customHeight="1" x14ac:dyDescent="0.4">
      <c r="A1" s="185"/>
      <c r="B1" s="186"/>
      <c r="C1" s="654"/>
      <c r="D1" s="654"/>
      <c r="E1" s="654"/>
      <c r="F1" s="654"/>
      <c r="G1" s="656"/>
      <c r="H1" s="657"/>
      <c r="I1" s="187"/>
      <c r="J1" s="187"/>
      <c r="K1" s="187"/>
      <c r="L1" s="187"/>
      <c r="M1" s="187"/>
      <c r="N1" s="187"/>
      <c r="O1" s="187"/>
      <c r="P1" s="187"/>
      <c r="Q1" s="187"/>
    </row>
    <row r="2" spans="1:17" ht="15" customHeight="1" x14ac:dyDescent="0.4">
      <c r="A2" s="189"/>
      <c r="B2" s="179"/>
      <c r="C2" s="655"/>
      <c r="D2" s="655"/>
      <c r="E2" s="655"/>
      <c r="F2" s="655"/>
      <c r="G2" s="658"/>
      <c r="H2" s="659"/>
      <c r="I2" s="187"/>
      <c r="J2" s="187"/>
      <c r="K2" s="187"/>
      <c r="L2" s="187"/>
      <c r="M2" s="187"/>
      <c r="N2" s="187"/>
      <c r="O2" s="187"/>
      <c r="P2" s="187"/>
      <c r="Q2" s="187"/>
    </row>
    <row r="3" spans="1:17" ht="10.5" customHeight="1" x14ac:dyDescent="0.2">
      <c r="A3" s="190"/>
      <c r="B3" s="358"/>
      <c r="C3" s="539"/>
      <c r="D3" s="539"/>
      <c r="E3" s="539"/>
      <c r="F3" s="539"/>
      <c r="G3" s="180"/>
      <c r="H3" s="184"/>
      <c r="I3" s="191"/>
      <c r="J3" s="191"/>
      <c r="K3" s="191"/>
      <c r="L3" s="191"/>
      <c r="M3" s="191"/>
      <c r="N3" s="191"/>
      <c r="O3" s="191"/>
      <c r="P3" s="191"/>
      <c r="Q3" s="191"/>
    </row>
    <row r="4" spans="1:17" ht="11.25" customHeight="1" x14ac:dyDescent="0.2">
      <c r="A4" s="190"/>
      <c r="B4" s="358"/>
      <c r="C4" s="539"/>
      <c r="D4" s="539"/>
      <c r="E4" s="539"/>
      <c r="F4" s="539"/>
      <c r="G4" s="180"/>
      <c r="H4" s="184"/>
      <c r="I4" s="191"/>
      <c r="J4" s="191"/>
      <c r="K4" s="191"/>
      <c r="L4" s="191"/>
      <c r="M4" s="191"/>
      <c r="N4" s="191"/>
      <c r="O4" s="191"/>
      <c r="P4" s="191"/>
      <c r="Q4" s="191"/>
    </row>
    <row r="5" spans="1:17" ht="12" customHeight="1" x14ac:dyDescent="0.2">
      <c r="A5" s="192"/>
      <c r="B5" s="163"/>
      <c r="C5" s="542"/>
      <c r="D5" s="542"/>
      <c r="E5" s="542"/>
      <c r="F5" s="542"/>
      <c r="G5" s="192"/>
      <c r="H5" s="193"/>
      <c r="I5" s="194"/>
      <c r="J5" s="194"/>
      <c r="K5" s="194"/>
      <c r="L5" s="194"/>
      <c r="M5" s="194"/>
      <c r="N5" s="194"/>
      <c r="O5" s="194"/>
      <c r="P5" s="194"/>
      <c r="Q5" s="194"/>
    </row>
    <row r="6" spans="1:17" s="198" customFormat="1" x14ac:dyDescent="0.2">
      <c r="A6" s="195"/>
      <c r="B6" s="195"/>
      <c r="C6" s="195"/>
      <c r="D6" s="196"/>
      <c r="E6" s="196"/>
      <c r="F6" s="197"/>
      <c r="G6" s="196"/>
      <c r="H6" s="196"/>
    </row>
    <row r="7" spans="1:17" s="52" customFormat="1" x14ac:dyDescent="0.2">
      <c r="A7" s="56"/>
      <c r="B7" s="64"/>
      <c r="C7" s="57"/>
      <c r="D7" s="260"/>
      <c r="E7" s="260"/>
      <c r="F7" s="260"/>
      <c r="G7" s="260"/>
      <c r="H7" s="260"/>
      <c r="I7" s="54"/>
    </row>
    <row r="8" spans="1:17" s="52" customFormat="1" x14ac:dyDescent="0.2">
      <c r="A8" s="56"/>
      <c r="B8" s="64"/>
      <c r="C8" s="57"/>
      <c r="D8" s="260"/>
      <c r="E8" s="260"/>
      <c r="F8" s="260"/>
      <c r="G8" s="260"/>
      <c r="H8" s="260"/>
      <c r="I8" s="54"/>
    </row>
    <row r="9" spans="1:17" s="52" customFormat="1" x14ac:dyDescent="0.2">
      <c r="A9" s="56"/>
      <c r="B9" s="64"/>
      <c r="C9" s="57"/>
      <c r="D9" s="260"/>
      <c r="E9" s="260"/>
      <c r="F9" s="260"/>
      <c r="G9" s="260"/>
      <c r="H9" s="260"/>
      <c r="I9" s="54"/>
    </row>
    <row r="10" spans="1:17" s="52" customFormat="1" x14ac:dyDescent="0.2">
      <c r="A10" s="56"/>
      <c r="B10" s="64"/>
      <c r="C10" s="57"/>
      <c r="D10" s="260"/>
      <c r="E10" s="260"/>
      <c r="F10" s="260"/>
      <c r="G10" s="260"/>
      <c r="H10" s="260"/>
      <c r="I10" s="54"/>
    </row>
    <row r="11" spans="1:17" s="52" customFormat="1" x14ac:dyDescent="0.2">
      <c r="A11" s="56"/>
      <c r="B11" s="64"/>
      <c r="C11" s="57"/>
      <c r="D11" s="260"/>
      <c r="E11" s="260"/>
      <c r="F11" s="260"/>
      <c r="G11" s="260"/>
      <c r="H11" s="260"/>
      <c r="I11" s="54"/>
    </row>
    <row r="12" spans="1:17" s="52" customFormat="1" x14ac:dyDescent="0.2">
      <c r="A12" s="56"/>
      <c r="B12" s="64"/>
      <c r="C12" s="57"/>
      <c r="D12" s="260"/>
      <c r="E12" s="260"/>
      <c r="F12" s="260"/>
      <c r="G12" s="260"/>
      <c r="H12" s="260"/>
      <c r="I12" s="54"/>
    </row>
    <row r="13" spans="1:17" s="52" customFormat="1" x14ac:dyDescent="0.2">
      <c r="A13" s="56"/>
      <c r="B13" s="480"/>
      <c r="C13" s="479"/>
      <c r="D13" s="260"/>
      <c r="E13" s="260"/>
      <c r="F13" s="260"/>
      <c r="G13" s="260"/>
      <c r="H13" s="260"/>
      <c r="I13" s="54"/>
    </row>
    <row r="14" spans="1:17" s="52" customFormat="1" x14ac:dyDescent="0.2">
      <c r="A14" s="56"/>
      <c r="B14" s="64"/>
      <c r="C14" s="479"/>
      <c r="D14" s="260"/>
      <c r="E14" s="260"/>
      <c r="F14" s="260"/>
      <c r="G14" s="260"/>
      <c r="H14" s="260"/>
      <c r="I14" s="54"/>
    </row>
    <row r="15" spans="1:17" s="52" customFormat="1" x14ac:dyDescent="0.2">
      <c r="A15" s="56"/>
      <c r="B15" s="64"/>
      <c r="C15" s="57"/>
      <c r="D15" s="260"/>
      <c r="E15" s="260"/>
      <c r="F15" s="260"/>
      <c r="G15" s="260"/>
      <c r="H15" s="260"/>
      <c r="I15" s="54"/>
    </row>
    <row r="16" spans="1:17" s="52" customFormat="1" x14ac:dyDescent="0.2">
      <c r="A16" s="56"/>
      <c r="B16" s="64"/>
      <c r="C16" s="479"/>
      <c r="D16" s="260"/>
      <c r="E16" s="260"/>
      <c r="F16" s="260"/>
      <c r="G16" s="260"/>
      <c r="H16" s="260"/>
      <c r="I16" s="54"/>
    </row>
    <row r="17" spans="1:10" s="52" customFormat="1" x14ac:dyDescent="0.2">
      <c r="A17" s="56"/>
      <c r="B17" s="64"/>
      <c r="C17" s="57"/>
      <c r="D17" s="260"/>
      <c r="E17" s="260"/>
      <c r="F17" s="260"/>
      <c r="G17" s="260"/>
      <c r="H17" s="260"/>
      <c r="I17" s="54"/>
    </row>
    <row r="18" spans="1:10" s="52" customFormat="1" x14ac:dyDescent="0.2">
      <c r="A18" s="56"/>
      <c r="B18" s="64"/>
      <c r="C18" s="57"/>
      <c r="D18" s="260"/>
      <c r="E18" s="260"/>
      <c r="F18" s="260"/>
      <c r="G18" s="260"/>
      <c r="H18" s="260"/>
      <c r="I18" s="54"/>
    </row>
    <row r="19" spans="1:10" s="52" customFormat="1" x14ac:dyDescent="0.2">
      <c r="A19" s="56"/>
      <c r="B19" s="64"/>
      <c r="C19" s="57"/>
      <c r="D19" s="260"/>
      <c r="E19" s="260"/>
      <c r="F19" s="260"/>
      <c r="G19" s="260"/>
      <c r="H19" s="260"/>
      <c r="I19" s="54"/>
    </row>
    <row r="20" spans="1:10" s="52" customFormat="1" x14ac:dyDescent="0.2">
      <c r="A20" s="56"/>
      <c r="B20" s="64"/>
      <c r="C20" s="479"/>
      <c r="D20" s="260"/>
      <c r="E20" s="260"/>
      <c r="F20" s="260"/>
      <c r="G20" s="260"/>
      <c r="H20" s="260"/>
      <c r="I20" s="54"/>
    </row>
    <row r="21" spans="1:10" s="52" customFormat="1" x14ac:dyDescent="0.2">
      <c r="A21" s="56"/>
      <c r="B21" s="64"/>
      <c r="C21" s="57"/>
      <c r="D21" s="260"/>
      <c r="E21" s="260"/>
      <c r="F21" s="260"/>
      <c r="G21" s="260"/>
      <c r="H21" s="260"/>
      <c r="I21" s="54"/>
    </row>
    <row r="22" spans="1:10" s="52" customFormat="1" x14ac:dyDescent="0.2">
      <c r="A22" s="56"/>
      <c r="B22" s="64"/>
      <c r="C22" s="57"/>
      <c r="D22" s="260"/>
      <c r="E22" s="260"/>
      <c r="F22" s="260"/>
      <c r="G22" s="260"/>
      <c r="H22" s="260"/>
      <c r="I22" s="54"/>
    </row>
    <row r="23" spans="1:10" s="202" customFormat="1" x14ac:dyDescent="0.2">
      <c r="A23" s="199"/>
      <c r="B23" s="200"/>
      <c r="C23" s="205"/>
      <c r="D23" s="204"/>
      <c r="E23" s="204"/>
      <c r="F23" s="204"/>
      <c r="G23" s="204"/>
      <c r="H23" s="204"/>
      <c r="I23" s="188"/>
    </row>
    <row r="24" spans="1:10" s="202" customFormat="1" x14ac:dyDescent="0.2">
      <c r="A24" s="199"/>
      <c r="B24" s="200"/>
      <c r="C24" s="481"/>
      <c r="D24" s="206"/>
      <c r="E24" s="431"/>
      <c r="F24" s="431"/>
      <c r="G24" s="431"/>
      <c r="H24" s="431"/>
      <c r="I24" s="188"/>
    </row>
    <row r="25" spans="1:10" s="202" customFormat="1" x14ac:dyDescent="0.2">
      <c r="A25" s="199"/>
      <c r="B25" s="200"/>
      <c r="C25" s="205"/>
      <c r="D25" s="204"/>
      <c r="E25" s="204"/>
      <c r="F25" s="204"/>
      <c r="G25" s="204"/>
      <c r="H25" s="204"/>
      <c r="I25" s="188"/>
    </row>
    <row r="26" spans="1:10" s="202" customFormat="1" x14ac:dyDescent="0.2">
      <c r="A26" s="199"/>
      <c r="B26" s="200"/>
      <c r="C26" s="201"/>
      <c r="D26" s="206"/>
      <c r="E26" s="206"/>
      <c r="F26" s="206"/>
      <c r="G26" s="206"/>
      <c r="H26" s="206"/>
      <c r="I26" s="188"/>
    </row>
    <row r="27" spans="1:10" s="486" customFormat="1" x14ac:dyDescent="0.2">
      <c r="A27" s="482"/>
      <c r="B27" s="483"/>
      <c r="C27" s="481"/>
      <c r="D27" s="484"/>
      <c r="E27" s="484"/>
      <c r="F27" s="484"/>
      <c r="G27" s="484"/>
      <c r="H27" s="484"/>
      <c r="I27" s="485"/>
    </row>
    <row r="28" spans="1:10" s="202" customFormat="1" x14ac:dyDescent="0.2">
      <c r="A28" s="199"/>
      <c r="B28" s="200"/>
      <c r="C28" s="201"/>
      <c r="D28" s="206"/>
      <c r="E28" s="206"/>
      <c r="F28" s="206"/>
      <c r="G28" s="206"/>
      <c r="H28" s="206"/>
      <c r="I28" s="188"/>
    </row>
    <row r="29" spans="1:10" s="202" customFormat="1" x14ac:dyDescent="0.2">
      <c r="A29" s="199"/>
      <c r="B29" s="200"/>
      <c r="C29" s="201"/>
      <c r="D29" s="206"/>
      <c r="E29" s="206"/>
      <c r="F29" s="206"/>
      <c r="G29" s="206"/>
      <c r="H29" s="206"/>
      <c r="I29" s="188"/>
      <c r="J29" s="203"/>
    </row>
    <row r="30" spans="1:10" s="202" customFormat="1" x14ac:dyDescent="0.2">
      <c r="A30" s="199"/>
      <c r="B30" s="200"/>
      <c r="C30" s="201"/>
      <c r="D30" s="206"/>
      <c r="E30" s="206"/>
      <c r="F30" s="206"/>
      <c r="G30" s="206"/>
      <c r="H30" s="206"/>
      <c r="I30" s="188"/>
    </row>
    <row r="32" spans="1:10" x14ac:dyDescent="0.2">
      <c r="D32" s="204"/>
      <c r="E32" s="204"/>
      <c r="F32" s="204"/>
      <c r="G32" s="204"/>
      <c r="H32" s="204"/>
    </row>
  </sheetData>
  <mergeCells count="5">
    <mergeCell ref="C1:F2"/>
    <mergeCell ref="G1:H2"/>
    <mergeCell ref="C3:F3"/>
    <mergeCell ref="C4:F4"/>
    <mergeCell ref="C5:F5"/>
  </mergeCells>
  <pageMargins left="0.63725490196078427" right="0.55147058823529416" top="0.74803149606299213" bottom="0.86538461538461542" header="0.51041666666666663" footer="0.41666666666666669"/>
  <pageSetup orientation="portrait" horizontalDpi="4294967294" r:id="rId1"/>
  <headerFooter>
    <oddHeader xml:space="preserve">&amp;RPage &amp;P of &amp;N     </oddHeader>
  </headerFooter>
  <drawing r:id="rId2"/>
  <legacyDrawing r:id="rId3"/>
  <controls>
    <mc:AlternateContent xmlns:mc="http://schemas.openxmlformats.org/markup-compatibility/2006">
      <mc:Choice Requires="x14">
        <control shapeId="79874" r:id="rId4" name="CommandButton1">
          <controlPr defaultSize="0" autoLine="0" r:id="rId5">
            <anchor moveWithCells="1">
              <from>
                <xdr:col>8</xdr:col>
                <xdr:colOff>47625</xdr:colOff>
                <xdr:row>1</xdr:row>
                <xdr:rowOff>142875</xdr:rowOff>
              </from>
              <to>
                <xdr:col>9</xdr:col>
                <xdr:colOff>276225</xdr:colOff>
                <xdr:row>4</xdr:row>
                <xdr:rowOff>114300</xdr:rowOff>
              </to>
            </anchor>
          </controlPr>
        </control>
      </mc:Choice>
      <mc:Fallback>
        <control shapeId="79874" r:id="rId4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"/>
  <sheetViews>
    <sheetView workbookViewId="0">
      <selection activeCell="N23" sqref="N2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20</vt:i4>
      </vt:variant>
    </vt:vector>
  </HeadingPairs>
  <TitlesOfParts>
    <vt:vector size="42" baseType="lpstr">
      <vt:lpstr>Main</vt:lpstr>
      <vt:lpstr>BILL</vt:lpstr>
      <vt:lpstr>ORIGINAL</vt:lpstr>
      <vt:lpstr>DUPLICATE</vt:lpstr>
      <vt:lpstr>TRIPLICATE</vt:lpstr>
      <vt:lpstr>products</vt:lpstr>
      <vt:lpstr>Vendors</vt:lpstr>
      <vt:lpstr>Backup</vt:lpstr>
      <vt:lpstr>StoreDetails</vt:lpstr>
      <vt:lpstr>GstFile</vt:lpstr>
      <vt:lpstr>SaleLedger</vt:lpstr>
      <vt:lpstr>PurchaseLedger</vt:lpstr>
      <vt:lpstr>ItemSaleStatus</vt:lpstr>
      <vt:lpstr>CalSheet</vt:lpstr>
      <vt:lpstr>VerifySaleCal</vt:lpstr>
      <vt:lpstr>SaleStatus</vt:lpstr>
      <vt:lpstr>SaleLedgerPrintSheet</vt:lpstr>
      <vt:lpstr>PurchaseLedgerPrintSheet</vt:lpstr>
      <vt:lpstr>b2b</vt:lpstr>
      <vt:lpstr>BarRead</vt:lpstr>
      <vt:lpstr>Pur</vt:lpstr>
      <vt:lpstr>Sheet1</vt:lpstr>
      <vt:lpstr>BILL!invo</vt:lpstr>
      <vt:lpstr>DUPLICATE!invo</vt:lpstr>
      <vt:lpstr>ORIGINAL!invo</vt:lpstr>
      <vt:lpstr>TRIPLICATE!invo</vt:lpstr>
      <vt:lpstr>Lawrence</vt:lpstr>
      <vt:lpstr>Maiyas</vt:lpstr>
      <vt:lpstr>Mugi</vt:lpstr>
      <vt:lpstr>PaperBoat</vt:lpstr>
      <vt:lpstr>BILL!Print_Area</vt:lpstr>
      <vt:lpstr>DUPLICATE!Print_Area</vt:lpstr>
      <vt:lpstr>ORIGINAL!Print_Area</vt:lpstr>
      <vt:lpstr>TRIPLICATE!Print_Area</vt:lpstr>
      <vt:lpstr>Pur!Print_Titles</vt:lpstr>
      <vt:lpstr>PurchaseLedgerPrintSheet!Print_Titles</vt:lpstr>
      <vt:lpstr>SaleLedgerPrintSheet!Print_Titles</vt:lpstr>
      <vt:lpstr>SM</vt:lpstr>
      <vt:lpstr>state</vt:lpstr>
      <vt:lpstr>TopRamen</vt:lpstr>
      <vt:lpstr>Unibic</vt:lpstr>
      <vt:lpstr>VSP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Praveen Enterprises</dc:creator>
  <cp:lastModifiedBy>Naveen B</cp:lastModifiedBy>
  <cp:lastPrinted>2018-05-17T12:54:38Z</cp:lastPrinted>
  <dcterms:created xsi:type="dcterms:W3CDTF">2017-10-27T19:51:54Z</dcterms:created>
  <dcterms:modified xsi:type="dcterms:W3CDTF">2025-02-16T22:50:52Z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96 96 1366 768</vt:lpwstr>
  </property>
</Properties>
</file>